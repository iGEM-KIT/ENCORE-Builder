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a95da4469e4b09" /></Relationships>
</file>

<file path=xl/workbook.xml><?xml version="1.0" encoding="utf-8"?>
<x:workbook xmlns:x="http://schemas.openxmlformats.org/spreadsheetml/2006/main">
  <x:sheets>
    <x:sheet xmlns:r="http://schemas.openxmlformats.org/officeDocument/2006/relationships" name="README" sheetId="1" r:id="R5361101e4a184c40"/>
    <x:sheet xmlns:r="http://schemas.openxmlformats.org/officeDocument/2006/relationships" name="databank" sheetId="2" r:id="R260a8d8d5d6a4758"/>
    <x:sheet xmlns:r="http://schemas.openxmlformats.org/officeDocument/2006/relationships" name="assemblies" sheetId="3" r:id="R03c1dbc6846144ca"/>
    <x:sheet xmlns:r="http://schemas.openxmlformats.org/officeDocument/2006/relationships" name="pores" sheetId="4" r:id="Rccdbcaf74c074db0"/>
    <x:sheet xmlns:r="http://schemas.openxmlformats.org/officeDocument/2006/relationships" name="sequence_links" sheetId="5" r:id="Ra5d92726294243d9"/>
    <x:sheet xmlns:r="http://schemas.openxmlformats.org/officeDocument/2006/relationships" name="evidence" sheetId="6" r:id="R36c220d8fc3342c1"/>
    <x:sheet xmlns:r="http://schemas.openxmlformats.org/officeDocument/2006/relationships" name="citation_links" sheetId="9" r:id="R10e3bbfd82cf4ba4"/>
    <x:sheet xmlns:r="http://schemas.openxmlformats.org/officeDocument/2006/relationships" name="vocabularies" sheetId="7" r:id="R23997c23031d40a4"/>
    <x:sheet xmlns:r="http://schemas.openxmlformats.org/officeDocument/2006/relationships" name="doi_index" sheetId="8" r:id="Red8f15ca325942fe"/>
    <x:sheet xmlns:r="http://schemas.openxmlformats.org/officeDocument/2006/relationships" name="builder_catalog" sheetId="10" r:id="R282b8689a46b44f6"/>
    <x:sheet xmlns:r="http://schemas.openxmlformats.org/officeDocument/2006/relationships" name="CURATION_GUIDE" sheetId="11" r:id="R85085c2893e84d7a"/>
    <x:sheet xmlns:r="http://schemas.openxmlformats.org/officeDocument/2006/relationships" name="RELEASE_AUDIT" sheetId="12" r:id="Rd5457beb3dd24db7"/>
    <x:sheet xmlns:r="http://schemas.openxmlformats.org/officeDocument/2006/relationships" name="FIELD_GUIDE" sheetId="13" r:id="Re7b91165aa9942db"/>
    <x:sheet xmlns:r="http://schemas.openxmlformats.org/officeDocument/2006/relationships" name="OPEN_REVIEW_ISSUES" sheetId="14" r:id="Rfdcc09c0abc74bf9"/>
    <x:sheet xmlns:r="http://schemas.openxmlformats.org/officeDocument/2006/relationships" name="CURATION_LOG" sheetId="15" r:id="R874575d44cc14f45"/>
    <x:sheet xmlns:r="http://schemas.openxmlformats.org/officeDocument/2006/relationships" name="PUBLIC_GUIDE" sheetId="16" r:id="R6c02191256824d8a"/>
    <x:sheet xmlns:r="http://schemas.openxmlformats.org/officeDocument/2006/relationships" name="targeting_peptides" sheetId="17" r:id="R2bf25cec1a0249e0"/>
  </x:sheets>
</x:workbook>
</file>

<file path=xl/sharedStrings.xml><?xml version="1.0" encoding="utf-8"?>
<x:sst xmlns:x="http://schemas.openxmlformats.org/spreadsheetml/2006/main">
  <x:si>
    <x:t xml:space="preserve">TOPIC</x:t>
  </x:si>
  <x:si>
    <x:t xml:space="preserve">GUIDANCE</x:t>
  </x:si>
  <x:si>
    <x:t xml:space="preserve">Document title</x:t>
  </x:si>
  <x:si>
    <x:t xml:space="preserve">Open Encapsulin Databank</x:t>
  </x:si>
  <x:si>
    <x:t xml:space="preserve">Document type</x:t>
  </x:si>
  <x:si>
    <x:t xml:space="preserve">1. PURPOSE AND SCOPE</x:t>
  </x:si>
  <x:si>
    <x:t xml:space="preserve">Purpose and scope</x:t>
  </x:si>
  <x:si>
    <x:t xml:space="preserve">The Open Encapsulin Databank is a curated collection of encapsulin shell protein candidates and the experimentally supported structural observations associated with them. Each protein is identified by candidate_id (usually a UniProt accession). The database distinguishes protein-level annotations, experimentally characterized shell assemblies, and assembly-specific pores. A missing measurement is not treated as a zero, a closed pore, or evidence that a feature does not exist.</x:t>
  </x:si>
  <x:si>
    <x:t xml:space="preserve">Record counts</x:t>
  </x:si>
  <x:si>
    <x:t xml:space="preserve">The workbook contains 74 protein candidates, 51 assembly records, 56 pore records and 131 evidence records. These numbers refer to database records, not to the number of experimentally characterized proteins. Applications should calculate displayed record counts from the exported data.</x:t>
  </x:si>
  <x:si>
    <x:t xml:space="preserve">2. WORKBOOK STRUCTURE</x:t>
  </x:si>
  <x:si>
    <x:t xml:space="preserve">databank</x:t>
  </x:si>
  <x:si>
    <x:t xml:space="preserve">One row per protein candidate: names, taxonomy, gene identifiers, status, UniProt/PDB/EMDB links, loading information, confidence and reference assembly.  Key: candidate_id</x:t>
  </x:si>
  <x:si>
    <x:t xml:space="preserve">assemblies</x:t>
  </x:si>
  <x:si>
    <x:t xml:space="preserve">One row per curated shell construct, architecture or experimentally distinguishable shell assembly; includes symmetry, T-number, stoichiometry, dimensions, condition, method, structure IDs, source and DOI.  Key: assembly_id; foreign key candidate_id</x:t>
  </x:si>
  <x:si>
    <x:t xml:space="preserve">pores</x:t>
  </x:si>
  <x:si>
    <x:t xml:space="preserve">One row per structurally supported pore observation/conformation at a particular assembly. Includes site, state, diameter basis, charge, pH, condition and supporting structure.  Key: pore_record_id; foreign keys candidate_id, assembly_id</x:t>
  </x:si>
  <x:si>
    <x:t xml:space="preserve">sequence_links</x:t>
  </x:si>
  <x:si>
    <x:t xml:space="preserve">Protein/nucleotide accessions, strand, validated CDS coordinates, nucleotide source and genomic DNA sequence when available.  Key: sequence_link_id; foreign key candidate_id</x:t>
  </x:si>
  <x:si>
    <x:t xml:space="preserve">evidence</x:t>
  </x:si>
  <x:si>
    <x:t xml:space="preserve">Provenance records associated with assembly observations, pore observations and loading annotations. See Section 5 for interpretation.  Key: evidence_id; foreign key candidate_id</x:t>
  </x:si>
  <x:si>
    <x:t xml:space="preserve">vocabularies</x:t>
  </x:si>
  <x:si>
    <x:t xml:space="preserve">Controlled values for fields such as family, variant, pore site, pore state, diameter basis, status and charge.  Key: Columns contain permitted values</x:t>
  </x:si>
  <x:si>
    <x:t xml:space="preserve">doi_index</x:t>
  </x:si>
  <x:si>
    <x:t xml:space="preserve">DOI-to-publication lookup, with bibliographic title and URL.  Key: DOI</x:t>
  </x:si>
  <x:si>
    <x:t xml:space="preserve">citation_links</x:t>
  </x:si>
  <x:si>
    <x:t xml:space="preserve">Explicit links between individual source DOIs and the candidate, assembly or pore records that cite them; relationship describes the type of association.  Key: (table, record_id, doi)</x:t>
  </x:si>
  <x:si>
    <x:t xml:space="preserve">README</x:t>
  </x:si>
  <x:si>
    <x:t xml:space="preserve">Workbook-level explanation of the current data model and export rules.  Key: Not applicable</x:t>
  </x:si>
  <x:si>
    <x:t xml:space="preserve">3. RELATIONAL MODEL</x:t>
  </x:si>
  <x:si>
    <x:t xml:space="preserve">Relational keys</x:t>
  </x:si>
  <x:si>
    <x:t xml:space="preserve">candidate (databank.candidate_id)
  |-- assemblies (assemblies.candidate_id -&gt; candidate_id)
  |    `-- pores (pores.assembly_id -&gt; assemblies.assembly_id)
  |-- sequence_links (sequence_links.candidate_id -&gt; candidate_id)
  |-- evidence (evidence.candidate_id -&gt; candidate_id)
  `-- citations (citation_links.record_id, table, candidate_id -&gt; doi_index.doi)</x:t>
  </x:si>
  <x:si>
    <x:t xml:space="preserve">Assembly-aware relationships</x:t>
  </x:si>
  <x:si>
    <x:t xml:space="preserve">The shell assembly is the unit for structural comparison. A protein may have multiple T-numbers, cargo-loading conditions and engineered constructs. Never combine pore data from one assembly with dimensions or T-number from a different assembly when satisfying a filter. Pore records must refer to an existing assembly_id, and their candidate_id must match that assembly. The entry-level source_pdb/source_emdb fields may index structures from several variants; the appropriate structure for an observation is specified by its linked assembly/pore record.</x:t>
  </x:si>
  <x:si>
    <x:t xml:space="preserve">4. SCIENTIFIC DATA CONVENTIONS</x:t>
  </x:si>
  <x:si>
    <x:t xml:space="preserve">Assemblies</x:t>
  </x:si>
  <x:si>
    <x:t xml:space="preserve">variant_status describes the shell construct, not the heterologous nature of its cargo. Natural protein fusions can be wild_type. Record a T-number with the appropriate T_number_basis; use inferred_from_subunit_count only when the experimentally established architecture makes that inference defensible. Do not calculate or present an unreported inner diameter, shell thickness or volume as if experimentally measured.</x:t>
  </x:si>
  <x:si>
    <x:t xml:space="preserve">Pores</x:t>
  </x:si>
  <x:si>
    <x:t xml:space="preserve">pore_type describes an experimentally supported opening or site, not an assumed channel at every symmetry axis. pore_state=open means a continuous measurable aperture exists; closed means the channel is occluded; unresolved means the structural evidence does not establish whether an aperture exists. An author-defined “closed” conformation can therefore be open in this databank if a measurable lumen remains. dynamic_status=demonstrated requires structurally documented multiple conformations of the same pore; otherwise use single_state_observed where appropriate.</x:t>
  </x:si>
  <x:si>
    <x:t xml:space="preserve">Diameters</x:t>
  </x:si>
  <x:si>
    <x:t xml:space="preserve">Store pore_diameter_nm as a scalar only when a supported scalar measurement is available. Use diameter_basis (reported_diameter, narrowest_point, range, other) as appropriate. For intervals, leave the scalar blank, choose range and record the original interval in notes. Preserve anisotropic dimensions without inventing a circular-equivalent pore diameter. When converting radius to diameter, document the conversion in notes.</x:t>
  </x:si>
  <x:si>
    <x:t xml:space="preserve">Charge and pH</x:t>
  </x:si>
  <x:si>
    <x:t xml:space="preserve">Record charge_exterior and charge_interior only when the source assigns the corresponding side of the pore. not_reported means the source was checked and the property was not reported; a blank can mean unknown, not yet validated or condition-dependent. Do not equate a neutral midpoint with a neutral exterior or interior. Populate pH only when the pH applies directly to the structure or pore measurement; do not copy values indiscriminately from purification or SEC. Explain pH-dependent electrostatics in notes rather than forcing one charge into a variable system.</x:t>
  </x:si>
  <x:si>
    <x:t xml:space="preserve">Missing values</x:t>
  </x:si>
  <x:si>
    <x:t xml:space="preserve">Empty cells are intentional when no adequately supported value is available. Preserve the source's method, sample condition, native versus heterologous cargo, wild type versus engineered status and measurement basis. Keep free-text notes concise and avoid duplicating structured fields.</x:t>
  </x:si>
  <x:si>
    <x:t xml:space="preserve">5. SOURCES, DOI IDENTIFICATION AND EVIDENCE</x:t>
  </x:si>
  <x:si>
    <x:t xml:space="preserve">Source and DOI</x:t>
  </x:si>
  <x:si>
    <x:t xml:space="preserve">source/curation_source state the publication or database record reported in the scientific table; their corresponding DOI columns identify the specific cited publication, not merely a paper by the same author in the same year. Multiple DOIs may be separated by semicolons. Confirm mapping in doi_index and citation_links instead of using an author-year string as a unique identifier.</x:t>
  </x:si>
  <x:si>
    <x:t xml:space="preserve">DOI relationships</x:t>
  </x:si>
  <x:si>
    <x:t xml:space="preserve">doi_index stores the DOI and publication identity; citation_links stores the relationship between the DOI and a specific candidate/assembly/pore record. They are complementary. citation_links maps publications to candidate, assembly and pore records; it does not establish independent, property-level experimental validation.</x:t>
  </x:si>
  <x:si>
    <x:t xml:space="preserve">Scientific support</x:t>
  </x:si>
  <x:si>
    <x:t xml:space="preserve">Distinguish direct measurements of a candidate from analogies with homologs and from annotations copied from UniProt or another database. A publication that is relevant background does not establish a structural measurement for a different accession.</x:t>
  </x:si>
  <x:si>
    <x:t xml:space="preserve">Candidates without DOI</x:t>
  </x:si>
  <x:si>
    <x:t xml:space="preserve">A UniProt-only candidate may legitimately have no publication DOI. Do not invent a DOI to fill that gap. Unverified or ambiguous mappings should remain blank until resolved.</x:t>
  </x:si>
  <x:si>
    <x:t xml:space="preserve">Evidence scope</x:t>
  </x:si>
  <x:si>
    <x:t xml:space="preserve">evidence contains 51 assembly_observation, 56 pore_record and 24 loading_info records. Its fields support_type=curated_from_sheet and source_type=curated_sheet indicate that these entries reflect curated workbook data; they do not independently verify primary publications or encode all property-level support classifications. Scientific claims should be evaluated using the linked record, experimental conditions, measurement basis and source DOI.</x:t>
  </x:si>
  <x:si>
    <x:t xml:space="preserve">6. SEQUENCE CONVENTIONS</x:t>
  </x:si>
  <x:si>
    <x:t xml:space="preserve">Sequence conventions</x:t>
  </x:si>
  <x:si>
    <x:t xml:space="preserve">genomic_sequence stores nucleotide sequence in the 5′→3′ orientation of the reference genome. When strand is negative, the protein's coding sequence in the 5′→3′ orientation is the reverse complement of that genomic sequence. cds_start/cds_end and cds_length_nt should only be populated from validated reference coordinates. Do not confuse a nucleotide database reference or homolog sequence with a verified CDS for the exact candidate. Leave unverified sequences or coordinates blank.</x:t>
  </x:si>
  <x:si>
    <x:t xml:space="preserve">7. SPREADSHEET FORMULAS AND MAINTENANCE</x:t>
  </x:si>
  <x:si>
    <x:t xml:space="preserve">Dynamic formulas</x:t>
  </x:si>
  <x:si>
    <x:t xml:space="preserve">databank contains dynamic count formulas for pdb_count (Z), assembly_count (AA), pore_record_count (AB) and evidence_record_count (AC). sequence_links contains validated-coordinate CDS-length formulas in column H. Do not replace these formulas with pasted static counts. Recalculate them automatically from related rows during software export. PDB counts derived from semicolon-separated IDs should be recalculated during export by splitting, trimming, removing empty values and deduplicating the identifiers.</x:t>
  </x:si>
  <x:si>
    <x:t xml:space="preserve">Maintenance</x:t>
  </x:si>
  <x:si>
    <x:t xml:space="preserve">When updating the workbook: keep primary/foreign keys unique and consistent, add source/DOI relationships for new scientific observations, apply controlled vocabularies, check units and blanks, and regenerate the evidence/citation indices if the underlying rows change. Never overwrite an existing primary key with a different biological record.</x:t>
  </x:si>
  <x:si>
    <x:t xml:space="preserve">8. EXPORT TO GITHUB AND IGEM SELECTOR</x:t>
  </x:si>
  <x:si>
    <x:t xml:space="preserve">Export step 1</x:t>
  </x:si>
  <x:si>
    <x:t xml:space="preserve">Read the workbook data by column header, not by fixed column position.</x:t>
  </x:si>
  <x:si>
    <x:t xml:space="preserve">Export step 2</x:t>
  </x:si>
  <x:si>
    <x:t xml:space="preserve">Strip whitespace from IDs, validate unique keys and foreign keys, and reject orphan pore records or mismatched candidate-to-assembly assignments.</x:t>
  </x:si>
  <x:si>
    <x:t xml:space="preserve">Export step 3</x:t>
  </x:si>
  <x:si>
    <x:t xml:space="preserve">Preserve null for missing scientific values; do not interpret blank diameters as zero, infer a T-number from a different assembly, or cast text ranges/approximate values to precise numbers.</x:t>
  </x:si>
  <x:si>
    <x:t xml:space="preserve">Export step 4</x:t>
  </x:si>
  <x:si>
    <x:t xml:space="preserve">Group candidates → assemblies → assembly-specific pores; attach sequence data, evidence and DOI links by their identifiers.</x:t>
  </x:si>
  <x:si>
    <x:t xml:space="preserve">Export step 5</x:t>
  </x:si>
  <x:si>
    <x:t xml:space="preserve">Generate labels, search and numeric filters from the structured fields, using vocabularies as the allowed-value reference. Name/organism/accession searches come from databank; structure filters query linked assemblies; pore filters query records attached to the matching assembly.</x:t>
  </x:si>
  <x:si>
    <x:t xml:space="preserve">Export step 6</x:t>
  </x:si>
  <x:si>
    <x:t xml:space="preserve">Build per-record references from the DOI linked to that record. Show an accessible DOI URL (https://doi.org/&lt;doi&gt;) where available and label UniProt/PDB/EMDB-only evidence as such rather than claiming a published article.</x:t>
  </x:si>
  <x:si>
    <x:t xml:space="preserve">Export step 7</x:t>
  </x:si>
  <x:si>
    <x:t xml:space="preserve">Recalculate displayed record counts, validate the exported relationships and data types, and then publish the generated JSON/JavaScript to the GitHub repository.</x:t>
  </x:si>
  <x:si>
    <x:t xml:space="preserve">Design principle</x:t>
  </x:si>
  <x:si>
    <x:t xml:space="preserve">Design principle: one biological observation must stay connected to its exact accession, assembly, experimental context and source. The workbook is the curated scientific data source; the iGEM frontend and Selector present and filter records derived from it.</x:t>
  </x:si>
  <x:si>
    <x:t xml:space="preserve">candidate_id</x:t>
  </x:si>
  <x:si>
    <x:t xml:space="preserve">entry_name</x:t>
  </x:si>
  <x:si>
    <x:t xml:space="preserve">protein_name</x:t>
  </x:si>
  <x:si>
    <x:t xml:space="preserve">organism</x:t>
  </x:si>
  <x:si>
    <x:t xml:space="preserve">strain</x:t>
  </x:si>
  <x:si>
    <x:t xml:space="preserve">genus</x:t>
  </x:si>
  <x:si>
    <x:t xml:space="preserve">taxonomy_id</x:t>
  </x:si>
  <x:si>
    <x:t xml:space="preserve">gene</x:t>
  </x:si>
  <x:si>
    <x:t xml:space="preserve">locus_tag</x:t>
  </x:si>
  <x:si>
    <x:t xml:space="preserve">orf_name</x:t>
  </x:si>
  <x:si>
    <x:t xml:space="preserve">length_aa</x:t>
  </x:si>
  <x:si>
    <x:t xml:space="preserve">uniprot_reviewed_status</x:t>
  </x:si>
  <x:si>
    <x:t xml:space="preserve">encapsulin_family</x:t>
  </x:si>
  <x:si>
    <x:t xml:space="preserve">uniprot_record_status</x:t>
  </x:si>
  <x:si>
    <x:t xml:space="preserve">uniparc_id</x:t>
  </x:si>
  <x:si>
    <x:t xml:space="preserve">replacement_accession</x:t>
  </x:si>
  <x:si>
    <x:t xml:space="preserve">characterization_level</x:t>
  </x:si>
  <x:si>
    <x:t xml:space="preserve">curation_confidence</x:t>
  </x:si>
  <x:si>
    <x:t xml:space="preserve">needs_review_flag</x:t>
  </x:si>
  <x:si>
    <x:t xml:space="preserve">entry_warning</x:t>
  </x:si>
  <x:si>
    <x:t xml:space="preserve">reference_assembly_id</x:t>
  </x:si>
  <x:si>
    <x:t xml:space="preserve">loading_info</x:t>
  </x:si>
  <x:si>
    <x:t xml:space="preserve">source_uniprot</x:t>
  </x:si>
  <x:si>
    <x:t xml:space="preserve">source_pdb</x:t>
  </x:si>
  <x:si>
    <x:t xml:space="preserve">source_emdb</x:t>
  </x:si>
  <x:si>
    <x:t xml:space="preserve">pdb_count</x:t>
  </x:si>
  <x:si>
    <x:t xml:space="preserve">assembly_count</x:t>
  </x:si>
  <x:si>
    <x:t xml:space="preserve">pore_record_count</x:t>
  </x:si>
  <x:si>
    <x:t xml:space="preserve">evidence_record_count</x:t>
  </x:si>
  <x:si>
    <x:t xml:space="preserve">curation_source</x:t>
  </x:si>
  <x:si>
    <x:t xml:space="preserve">curator_notes</x:t>
  </x:si>
  <x:si>
    <x:t xml:space="preserve">missing_fields_for_curation</x:t>
  </x:si>
  <x:si>
    <x:t xml:space="preserve">curation_source_doi</x:t>
  </x:si>
  <x:si>
    <x:t xml:space="preserve">Q1D6H4</x:t>
  </x:si>
  <x:si>
    <x:t xml:space="preserve">ENCAP_MYXXD</x:t>
  </x:si>
  <x:si>
    <x:t xml:space="preserve">Type 1 encapsulin shell protein EncA</x:t>
  </x:si>
  <x:si>
    <x:t xml:space="preserve">Myxococcus xanthus</x:t>
  </x:si>
  <x:si>
    <x:t xml:space="preserve">DK1622</x:t>
  </x:si>
  <x:si>
    <x:t xml:space="preserve">Myxococcus</x:t>
  </x:si>
  <x:si>
    <x:t xml:space="preserve">encA</x:t>
  </x:si>
  <x:si>
    <x:t xml:space="preserve">MXAN_3556</x:t>
  </x:si>
  <x:si>
    <x:t xml:space="preserve">reviewed</x:t>
  </x:si>
  <x:si>
    <x:t xml:space="preserve">type_1</x:t>
  </x:si>
  <x:si>
    <x:t xml:space="preserve">active</x:t>
  </x:si>
  <x:si>
    <x:t xml:space="preserve">structurally_characterized</x:t>
  </x:si>
  <x:si>
    <x:t xml:space="preserve">high</x:t>
  </x:si>
  <x:si>
    <x:t xml:space="preserve">Q1D6H4_T3</x:t>
  </x:si>
  <x:si>
    <x:t xml:space="preserve">Cargo: EncB &amp; EncC (ferritin-like ferroxidases) + EncD (flavin-binding ferric reductase); iron storage / oxidative stress. Mechanism: cargo C-terminal TP.</x:t>
  </x:si>
  <x:si>
    <x:t xml:space="preserve">https://www.uniprot.org/uniprotkb/Q1D6H4/entry</x:t>
  </x:si>
  <x:si>
    <x:t xml:space="preserve">4PT2;7S20;7S21;7S2T;7S4Q;8TK7;8V4N;8V4Q;8VJO;9B9I;9B9Q;9BC8</x:t>
  </x:si>
  <x:si>
    <x:t xml:space="preserve">EMD-24814; EMD-24815; EMD-24816;EMD-24832; EMD-41322; EMD-42974;
EMD-42975; EMD-43290;
EMD-44383; EMD-44388;
EMD-44427; EMD-5917</x:t>
  </x:si>
  <x:si>
    <x:t xml:space="preserve">McHugh et al. 2014 EMBO J (PDB 4PT2); Eren et al. 2022 (PDB 7S20); EncD: PNAS 2024 (10.1073/pnas.2400426121)</x:t>
  </x:si>
  <x:si>
    <x:t xml:space="preserve">Predominant T=3 (~94% native), 180 subunits, 32 nm external / 26 nm internal. EncA can also form a minor T=1 (~18 nm); T=1 is only formed in the absence of a co-expressed cargo protein. 2-fold pore closed; 3-fold pore electropositive outside/electronegative inside; 5-fold electronegative outside/neutral inside.</x:t>
  </x:si>
  <x:si>
    <x:t xml:space="preserve">10.15252/embj.201488566; 10.1016/j.str.2022.01.008; 10.1073/pnas.2400426121</x:t>
  </x:si>
  <x:si>
    <x:t xml:space="preserve">Q9WZP2</x:t>
  </x:si>
  <x:si>
    <x:t xml:space="preserve">ENCAP_THEMA</x:t>
  </x:si>
  <x:si>
    <x:t xml:space="preserve">Type 1 encapsulin shell protein</x:t>
  </x:si>
  <x:si>
    <x:t xml:space="preserve">Thermotoga maritima</x:t>
  </x:si>
  <x:si>
    <x:t xml:space="preserve">ATCC 43589 / DSM 3109 / JCM 10099 / NBRC 100826 / MSB8</x:t>
  </x:si>
  <x:si>
    <x:t xml:space="preserve">Thermotoga</x:t>
  </x:si>
  <x:si>
    <x:t xml:space="preserve">enc</x:t>
  </x:si>
  <x:si>
    <x:t xml:space="preserve">TM_0785</x:t>
  </x:si>
  <x:si>
    <x:t xml:space="preserve">Cargo: decameric ferritin-like protein (FLP), oxidative-stress/iron handling. Mechanism: cargo C-terminal targeting peptide (TP).</x:t>
  </x:si>
  <x:si>
    <x:t xml:space="preserve">https://www.uniprot.org/uniprotkb/Q9WZP2/entry</x:t>
  </x:si>
  <x:si>
    <x:t xml:space="preserve">3DKT;6WKV;7K5W;7KQ5;7LII;7LIJ;7LIK;7LIL;7LIM;7LIS;7LIT;7MU1;9Y8P</x:t>
  </x:si>
  <x:si>
    <x:t xml:space="preserve">EMD-21810; EMD-22992;
EMD-23379; EMD-23380;
EMD-23381; EMD-23382;
EMD-23383; EMD-23384;
EMD-23385; EMD-24001;
EMD-72682</x:t>
  </x:si>
  <x:si>
    <x:t xml:space="preserve">Sutter et al. 2008 Nat Struct Mol Biol 15:939-947 (10.1038/nsmb.1473); PDB 3DKT; pore ~3 A from ACS Appl Bio Mater 2024 (10.1021/acsabm.3c01153); FLP/FMN: Sci Rep 2021 (10.1038/s41598-021-01932-w)</x:t>
  </x:si>
  <x:si>
    <x:t xml:space="preserve">T=1/60 subunits, 23-24 nm reported. 5-fold pore ~3 A (0.3 nm), narrow and dynamic; engineered pore variants exist. Reference encapsulin.</x:t>
  </x:si>
  <x:si>
    <x:t xml:space="preserve">10.1038/nsmb.1473; 10.1021/acsabm.3c01153; 10.1038/s41598-021-01932-w</x:t>
  </x:si>
  <x:si>
    <x:t xml:space="preserve">I6WZG6</x:t>
  </x:si>
  <x:si>
    <x:t xml:space="preserve">ENCAP_MYCTU</x:t>
  </x:si>
  <x:si>
    <x:t xml:space="preserve">Mycobacterium tuberculosis</x:t>
  </x:si>
  <x:si>
    <x:t xml:space="preserve">H37Rv | ATCC 25618 / H37Rv</x:t>
  </x:si>
  <x:si>
    <x:t xml:space="preserve">Mycobacterium</x:t>
  </x:si>
  <x:si>
    <x:t xml:space="preserve">Rv0798c</x:t>
  </x:si>
  <x:si>
    <x:t xml:space="preserve">I6WZG6_ref</x:t>
  </x:si>
  <x:si>
    <x:t xml:space="preserve">Cargo: DyP (dye-decolorizing peroxidase, DypB / Rv0799c); secondary BfrB (ferritin) and FolB; oxidative-stress defense in macrophages. Mechanism: cargo C-terminal TP.</x:t>
  </x:si>
  <x:si>
    <x:t xml:space="preserve">https://www.uniprot.org/uniprotkb/I6WZG6/entry</x:t>
  </x:si>
  <x:si>
    <x:t xml:space="preserve">7P1T;7PHM;8IKA;8PYS;9BKX;9GOT;9HQ7;9HQC;9I8D;9FNA</x:t>
  </x:si>
  <x:si>
    <x:t xml:space="preserve">EMD-13164; EMD-13420; EMD-18031; EMD-35507; EMD-51500; EMD-52340; EMD-52341</x:t>
  </x:si>
  <x:si>
    <x:t xml:space="preserve">Mtb-Enc.DyP crystal: Microorganisms 2024 (10.3390/microorganisms12122465, PMC11676171); TEM ~25 nm: eLife 2021 (10.7554/eLife.74358)</x:t>
  </x:si>
  <x:si>
    <x:t xml:space="preserve">T=1, 60 subunits, ~24-25 nm. 5- and 3-fold pore dimensions are reported; no clear pore was identified at the twofold symmetry point in the cited structural description. A0A045HTX8 was excluded as a redundant former accession.</x:t>
  </x:si>
  <x:si>
    <x:t xml:space="preserve">10.3390/microorganisms12122465; 10.7554/eLife.74358</x:t>
  </x:si>
  <x:si>
    <x:t xml:space="preserve">A0A0F5HPP7</x:t>
  </x:si>
  <x:si>
    <x:t xml:space="preserve">ENCAP_BACTR</x:t>
  </x:si>
  <x:si>
    <x:t xml:space="preserve">Bacillus thermotolerans</x:t>
  </x:si>
  <x:si>
    <x:t xml:space="preserve">MTCC 10057 / 5.5LF 38TD | MTCC 8252</x:t>
  </x:si>
  <x:si>
    <x:t xml:space="preserve">Bacillus</x:t>
  </x:si>
  <x:si>
    <x:t xml:space="preserve">QY95_01592</x:t>
  </x:si>
  <x:si>
    <x:t xml:space="preserve">STRUCTURE_SCOPE: linked PDBs include wild-type 6NJ8 and engineered constructs 7MH2 (T4GALA) and 8RVJ (P3P4); use assemblies.variant_status before assigning structure-specific properties.</x:t>
  </x:si>
  <x:si>
    <x:t xml:space="preserve">Cargo: IMEF (iron-mineralizing encapsulin-associated firmicute; ferroxidase) + minor 2Fe-2S ferredoxin (Fdx); high-capacity iron storage (&gt;23,000 Fe). Mechanism: cargo C-terminal TP.</x:t>
  </x:si>
  <x:si>
    <x:t xml:space="preserve">https://www.uniprot.org/uniprotkb/A0A0F5HPP7/entry</x:t>
  </x:si>
  <x:si>
    <x:t xml:space="preserve">6NJ8;7MH2;8RVJ;9ZW3;9ZW4;9ZVV</x:t>
  </x:si>
  <x:si>
    <x:t xml:space="preserve">EMD-23834; EMD-9383; EMD-74892; EMD-74904; EMD-74905;</x:t>
  </x:si>
  <x:si>
    <x:t xml:space="preserve">Giessen et al. 2019 eLife 8:e46070 (PMC6668986); PDB 6NJ8</x:t>
  </x:si>
  <x:si>
    <x:t xml:space="preserve">Largest confirmed encapsulin in this set: T=4, 240 subunits, 42 nm, 9.6 MDa. Both 3- and 5-fold pores are negatively charged. Melting temperature reported as 86.6 °C.</x:t>
  </x:si>
  <x:si>
    <x:t xml:space="preserve">10.7554/eLife.46070</x:t>
  </x:si>
  <x:si>
    <x:t xml:space="preserve">D0LZ74</x:t>
  </x:si>
  <x:si>
    <x:t xml:space="preserve">ENCAP_HALO1</x:t>
  </x:si>
  <x:si>
    <x:t xml:space="preserve">Haliangium ochraceum</x:t>
  </x:si>
  <x:si>
    <x:t xml:space="preserve">DSM 14365 / CIP 107738 / JCM 11303 / AJ 13395 / SMP-2</x:t>
  </x:si>
  <x:si>
    <x:t xml:space="preserve">Haliangium</x:t>
  </x:si>
  <x:si>
    <x:t xml:space="preserve">Hoch_3837</x:t>
  </x:si>
  <x:si>
    <x:t xml:space="preserve">medium</x:t>
  </x:si>
  <x:si>
    <x:t xml:space="preserve">Cargo: ferritin-like protein (EncFtn) - 4 decamers in tetrahedral arrangement (symmetry mismatch with shell). Mechanism: cargo C-terminal TP (GSLGIGSLR).</x:t>
  </x:si>
  <x:si>
    <x:t xml:space="preserve">https://www.uniprot.org/uniprotkb/D0LZ74/entry</x:t>
  </x:si>
  <x:si>
    <x:t xml:space="preserve">7ODW;7OE2;7OEU</x:t>
  </x:si>
  <x:si>
    <x:t xml:space="preserve">EMD-12853; EMD-12859;
EMD-12864</x:t>
  </x:si>
  <x:si>
    <x:t xml:space="preserve">Ross et al. 2022 Sci Adv 8:eabj4461 (10.1126/sciadv.abj4461, PMID 35080974); PDB 7ODW/7OE2/7OEU</x:t>
  </x:si>
  <x:si>
    <x:t xml:space="preserve">T=1. The 5-fold pore is dynamic, with closed (7OE2) and open (7OEU) states; the open state is ~1.5 nm. Shell diameter ~21 nm is reported for empty and EncFtn-loaded particles.</x:t>
  </x:si>
  <x:si>
    <x:t xml:space="preserve">10.1126/sciadv.abj4461</x:t>
  </x:si>
  <x:si>
    <x:t xml:space="preserve">Q55032</x:t>
  </x:si>
  <x:si>
    <x:t xml:space="preserve">ENCP2_SYNE7</x:t>
  </x:si>
  <x:si>
    <x:t xml:space="preserve">Type 2A encapsulin shell protein SrpI</x:t>
  </x:si>
  <x:si>
    <x:t xml:space="preserve">Synechococcus elongatus</x:t>
  </x:si>
  <x:si>
    <x:t xml:space="preserve">ATCC 33912 / PCC 7942 / FACHB-805</x:t>
  </x:si>
  <x:si>
    <x:t xml:space="preserve">Synechococcus</x:t>
  </x:si>
  <x:si>
    <x:t xml:space="preserve">Synpcc7942_B2662</x:t>
  </x:si>
  <x:si>
    <x:t xml:space="preserve">pANL38</x:t>
  </x:si>
  <x:si>
    <x:t xml:space="preserve">type_2A</x:t>
  </x:si>
  <x:si>
    <x:t xml:space="preserve">Cargo: cysteine desulfurase (CyD); sulfur metabolism, induced by sulfate starvation; activity enhanced on encapsulation. Mechanism: cargo N-terminal targeting sequence (Family 2A).</x:t>
  </x:si>
  <x:si>
    <x:t xml:space="preserve">https://www.uniprot.org/uniprotkb/Q55032/entry</x:t>
  </x:si>
  <x:si>
    <x:t xml:space="preserve">6X8M;6X8T</x:t>
  </x:si>
  <x:si>
    <x:t xml:space="preserve">EMD-16303; EMD-22094;
EMD-22095</x:t>
  </x:si>
  <x:si>
    <x:t xml:space="preserve">Nichols/LaFrance et al. 2021 eLife (10.7554/eLife.59288); PDB 6X8M (holo)/6X8T (apo)</x:t>
  </x:si>
  <x:si>
    <x:t xml:space="preserve">Family 2A (SrpI), T=1, 60 subunits, 24.5 nm reported. The 5-fold pore is ~0.37 nm and positively charged. N-terminal cargo loading is the key Family-2A distinction.</x:t>
  </x:si>
  <x:si>
    <x:t xml:space="preserve">10.7554/eLife.59288</x:t>
  </x:si>
  <x:si>
    <x:t xml:space="preserve">Q8U1L4</x:t>
  </x:si>
  <x:si>
    <x:t xml:space="preserve">ENCP1_PYRFU</x:t>
  </x:si>
  <x:si>
    <x:t xml:space="preserve">Ferritin-like-encapsulin shell fusion protein</x:t>
  </x:si>
  <x:si>
    <x:t xml:space="preserve">Pyrococcus furiosus</x:t>
  </x:si>
  <x:si>
    <x:t xml:space="preserve">ATCC 43587 / DSM 3638 / JCM 8422 / Vc1</x:t>
  </x:si>
  <x:si>
    <x:t xml:space="preserve">Pyrococcus</x:t>
  </x:si>
  <x:si>
    <x:t xml:space="preserve">PF1192/PF1191</x:t>
  </x:si>
  <x:si>
    <x:t xml:space="preserve">SHELL_CARGO_FUSION: legitimate but atypical fusion protein; interpret assembly properties in construct context.</x:t>
  </x:si>
  <x:si>
    <x:t xml:space="preserve">Q8U1L4_ref</x:t>
  </x:si>
  <x:si>
    <x:t xml:space="preserve">ARCHITECTURE: ferritin-like (Flp) domain fused to the shell protein (EncFtn fusion-type); no separate cargo loaded via TP; forms internal Flp assemblies; ferroxidase / iron storage.</x:t>
  </x:si>
  <x:si>
    <x:t xml:space="preserve">https://www.uniprot.org/uniprotkb/Q8U1L4/entry</x:t>
  </x:si>
  <x:si>
    <x:t xml:space="preserve">2E0Z;5N5E</x:t>
  </x:si>
  <x:si>
    <x:t xml:space="preserve">Akita et al. 2007 J Mol Biol 368:1469-1483 (10.1016/j.jmb.2007.02.075); PDB 2E0Z; fusion-Flp review PMC9944552</x:t>
  </x:si>
  <x:si>
    <x:t xml:space="preserve">Shell-cargo fusion, not a plain shell. T=3, 180 subunits, ~30-32 nm reported; the legacy row reports ~0.5 nm pores and pore locations at 2-/3-/5-fold-related sites.</x:t>
  </x:si>
  <x:si>
    <x:t xml:space="preserve">10.1016/j.jmb.2007.02.075</x:t>
  </x:si>
  <x:si>
    <x:t xml:space="preserve">Q45296</x:t>
  </x:si>
  <x:si>
    <x:t xml:space="preserve">ENCAP_BRELN</x:t>
  </x:si>
  <x:si>
    <x:t xml:space="preserve">Brevibacterium linens</x:t>
  </x:si>
  <x:si>
    <x:t xml:space="preserve">M18 | Mu101 | ATCC 19391</x:t>
  </x:si>
  <x:si>
    <x:t xml:space="preserve">Brevibacterium</x:t>
  </x:si>
  <x:si>
    <x:t xml:space="preserve">BLIN101_00808; CXR29_00100</x:t>
  </x:si>
  <x:si>
    <x:t xml:space="preserve">Q45296_ref</x:t>
  </x:si>
  <x:si>
    <x:t xml:space="preserve">Originally described as bacteriocin (Linocin M18, 1994). DyP-type peroxidase reported as cargo for Brevibacterium nanocompartments (confirm for this strain). Mechanism: Family 1 C-terminal TP (assumed).</x:t>
  </x:si>
  <x:si>
    <x:t xml:space="preserve">https://www.uniprot.org/uniprotkb/Q45296/entry</x:t>
  </x:si>
  <x:si>
    <x:t xml:space="preserve">7BCV</x:t>
  </x:si>
  <x:si>
    <x:t xml:space="preserve">EMD-12144</x:t>
  </x:si>
  <x:si>
    <x:t xml:space="preserve">Valdes-Stauber &amp; Scherer 1994 AEM 60:3809-3814 (10.1128/AEM.60.10.3809-3814.1994); PDB 7BCV</x:t>
  </x:si>
  <x:si>
    <x:t xml:space="preserve">First encapsulin historically described. T=1; shell diameter ~22.8 nm in the cited reconstruction. Legacy pore range 0.5-0.8 nm. Cargo identity for the exact strain should remain cautiously interpreted.</x:t>
  </x:si>
  <x:si>
    <x:t xml:space="preserve">10.1128/AEM.60.10.3809-3814.1994</x:t>
  </x:si>
  <x:si>
    <x:t xml:space="preserve">K7RV67</x:t>
  </x:si>
  <x:si>
    <x:t xml:space="preserve">K7RV67_ACIA4</x:t>
  </x:si>
  <x:si>
    <x:t xml:space="preserve">Acidipropionibacterium acidipropionici</x:t>
  </x:si>
  <x:si>
    <x:t xml:space="preserve">ATCC 4875 |  ATCC 4875 / DSM 20272 / JCM 6432 / NBRC 12425 / NCIMB 8070</x:t>
  </x:si>
  <x:si>
    <x:t xml:space="preserve">Acidipropionibacterium</x:t>
  </x:si>
  <x:si>
    <x:t xml:space="preserve">PACID_10050</x:t>
  </x:si>
  <x:si>
    <x:t xml:space="preserve">unreviewed</x:t>
  </x:si>
  <x:si>
    <x:t xml:space="preserve">K7RV67_ref</x:t>
  </x:si>
  <x:si>
    <x:t xml:space="preserve">Cargo not identified in this pass (the structural study focuses on acid-dependent pore dynamics). Mechanism: Family 1 C-terminal TP (assumed).</x:t>
  </x:si>
  <x:si>
    <x:t xml:space="preserve">https://www.uniprot.org/uniprotkb/K7RV67/entry</x:t>
  </x:si>
  <x:si>
    <x:t xml:space="preserve">8DN9;8DNA;8DNL</x:t>
  </x:si>
  <x:si>
    <x:t xml:space="preserve">EMD-27558; EMD-27560; 
EMD-27573</x:t>
  </x:si>
  <x:si>
    <x:t xml:space="preserve">Giessen 2024 ChemBioChem (10.1002/cbic.202400535, PMC11664910); PDB 8DN9/8DNA/8DNL</x:t>
  </x:si>
  <x:si>
    <x:t xml:space="preserve">T=1, 60 protomers, ~24 nm. Strongly pH-responsive 5-fold pore dynamics; both states observed at pH 7.5 and only the closed state at pH 3.0. Overall exterior surface is negatively charged.</x:t>
  </x:si>
  <x:si>
    <x:t xml:space="preserve">10.1002/cbic.202400535</x:t>
  </x:si>
  <x:si>
    <x:t xml:space="preserve">A0A1G9WS71</x:t>
  </x:si>
  <x:si>
    <x:t xml:space="preserve">A0A1G9WS71_9FIRM</x:t>
  </x:si>
  <x:si>
    <x:t xml:space="preserve">Dendrosporobacter quercicolus</x:t>
  </x:si>
  <x:si>
    <x:t xml:space="preserve">DSM 1736</x:t>
  </x:si>
  <x:si>
    <x:t xml:space="preserve">Dendrosporobacter</x:t>
  </x:si>
  <x:si>
    <x:t xml:space="preserve">SAMN04488502_10872</x:t>
  </x:si>
  <x:si>
    <x:t xml:space="preserve">low</x:t>
  </x:si>
  <x:si>
    <x:t xml:space="preserve">A0A1G9WS71_ref</x:t>
  </x:si>
  <x:si>
    <x:t xml:space="preserve">Heterologous cargo loading demonstrated via a 30-aa C-terminal targeting peptide. CyanoPOX (~60 kDa) and PTDH-mFMO (~100 kDa) were successfully encapsulated; cargo appears flexibly distributed inside the shell.</x:t>
  </x:si>
  <x:si>
    <x:t xml:space="preserve">https://www.uniprot.org/uniprotkb/A0A1G9WS71/entry</x:t>
  </x:si>
  <x:si>
    <x:t xml:space="preserve">9I8E;9I8F</x:t>
  </x:si>
  <x:si>
    <x:t xml:space="preserve">EMD-52715; EMD-52716</x:t>
  </x:si>
  <x:si>
    <x:t xml:space="preserve">PDB 9I8E/9I8F (deposited); RSC Materials Advances 2025 DendroEnc study</x:t>
  </x:si>
  <x:si>
    <x:t xml:space="preserve">DendroEnc: T=4, 240 subunits, ~40 nm. Legacy row reports a ~1.0 nm pore. Heterologous cargo loading was demonstrated via a C-terminal targeting peptide.</x:t>
  </x:si>
  <x:si>
    <x:t xml:space="preserve">10.1039/D5MA00268K</x:t>
  </x:si>
  <x:si>
    <x:t xml:space="preserve">A0R4H0</x:t>
  </x:si>
  <x:si>
    <x:t xml:space="preserve">A0R4H0_MYCS2</x:t>
  </x:si>
  <x:si>
    <x:t xml:space="preserve">Mycolicibacterium smegmatis</x:t>
  </x:si>
  <x:si>
    <x:t xml:space="preserve">ATCC 700084 / mc(2)155</x:t>
  </x:si>
  <x:si>
    <x:t xml:space="preserve">Mycolicibacterium</x:t>
  </x:si>
  <x:si>
    <x:t xml:space="preserve">MSMEG_5830</x:t>
  </x:si>
  <x:si>
    <x:t xml:space="preserve">A0R4H0_ref</x:t>
  </x:si>
  <x:si>
    <x:t xml:space="preserve">Cargo: DyP (dye-decolorizing peroxidase); CFP-29 shell; oxidative stress. Mechanism: cargo C-terminal TP.</x:t>
  </x:si>
  <x:si>
    <x:t xml:space="preserve">https://www.uniprot.org/uniprotkb/A0R4H0/entry</x:t>
  </x:si>
  <x:si>
    <x:t xml:space="preserve">7BOJ;9FN9</x:t>
  </x:si>
  <x:si>
    <x:t xml:space="preserve">EMD-30130; EMD-50585;
EMD-50586</x:t>
  </x:si>
  <x:si>
    <x:t xml:space="preserve">Cryo-EM M. smegmatis DyP encapsulin: PNAS 2021 (10.1073/pnas.2025658118, PMC8072242); PDB 7BOJ</x:t>
  </x:si>
  <x:si>
    <x:t xml:space="preserve">Family 1, T=1, ~24 nm, ~2.5 nm shell thickness. Pentameric pore ~0.68 nm; additional holes are reported at threefold and twofold-related interfaces.</x:t>
  </x:si>
  <x:si>
    <x:t xml:space="preserve">10.1073/pnas.2025658118</x:t>
  </x:si>
  <x:si>
    <x:t xml:space="preserve">I3E3I1</x:t>
  </x:si>
  <x:si>
    <x:t xml:space="preserve">I3E3I1_BACMM</x:t>
  </x:si>
  <x:si>
    <x:t xml:space="preserve">Bacillus methanolicus</x:t>
  </x:si>
  <x:si>
    <x:t xml:space="preserve">MGA3 / ATCC 53907</x:t>
  </x:si>
  <x:si>
    <x:t xml:space="preserve">BMMGA3_02020</x:t>
  </x:si>
  <x:si>
    <x:t xml:space="preserve">I3E3I1_ref</x:t>
  </x:si>
  <x:si>
    <x:t xml:space="preserve">IMEF-type native cargo system; CLP-mediated cargo loading. CLP-tagged heterologous cargo can be loaded in vitro into preassembled BmEnc shells.</x:t>
  </x:si>
  <x:si>
    <x:t xml:space="preserve">https://www.uniprot.org/uniprotkb/I3E3I1/entry</x:t>
  </x:si>
  <x:si>
    <x:t xml:space="preserve">9FY6</x:t>
  </x:si>
  <x:si>
    <x:t xml:space="preserve">EMD-50859</x:t>
  </x:si>
  <x:si>
    <x:t xml:space="preserve">PDB 9FY6 (deposited); thesis / subsequent BmEnc characterization</x:t>
  </x:si>
  <x:si>
    <x:t xml:space="preserve">BmEnc is reported as T=4. No quantitative shell diameter or pore dimension was curated in the source row. CLP-mediated cargo loading has been investigated.</x:t>
  </x:si>
  <x:si>
    <x:t xml:space="preserve">shell_diameter;pore_data</x:t>
  </x:si>
  <x:si>
    <x:t xml:space="preserve">K5BEG2</x:t>
  </x:si>
  <x:si>
    <x:t xml:space="preserve">K5BEG2_MYCHD</x:t>
  </x:si>
  <x:si>
    <x:t xml:space="preserve">Mycolicibacterium hassiacum</x:t>
  </x:si>
  <x:si>
    <x:t xml:space="preserve">DSM 44199 / CIP 105218 / JCM 12690 / 3849</x:t>
  </x:si>
  <x:si>
    <x:t xml:space="preserve">lin</x:t>
  </x:si>
  <x:si>
    <x:t xml:space="preserve">C731_3737</x:t>
  </x:si>
  <x:si>
    <x:t xml:space="preserve">K5BEG2_ref</x:t>
  </x:si>
  <x:si>
    <x:t xml:space="preserve">C-terminal targeting peptide-mediated loading. A 30-aa peptide (PPPLPDSEPDREIPADDGSLGIGSLKGTRS), derived from the native DyP of M. hassiacum, was fused to cargo proteins; heterologous cargos up to 270 kDa were encapsulated.</x:t>
  </x:si>
  <x:si>
    <x:t xml:space="preserve">https://www.uniprot.org/uniprotkb/K5BEG2/entry</x:t>
  </x:si>
  <x:si>
    <x:t xml:space="preserve">6I9G</x:t>
  </x:si>
  <x:si>
    <x:t xml:space="preserve">PDB 6I9G (deposited); primary M. hassiacum encapsulin characterization</x:t>
  </x:si>
  <x:si>
    <x:t xml:space="preserve">T=1, 60 protomers, 23 nm shell. Legacy pore range 0.5-0.9 nm. Shell thickness 2-2.5 nm; oligomeric shell stable up to 50 °C and resistant to trypsin and proteinase K.</x:t>
  </x:si>
  <x:si>
    <x:t xml:space="preserve">10.1016/j.bbrc.2020.06.059</x:t>
  </x:si>
  <x:si>
    <x:t xml:space="preserve">A0AAT8XUH9</x:t>
  </x:si>
  <x:si>
    <x:t xml:space="preserve">A0AAT8XUH9_KLEPN</x:t>
  </x:si>
  <x:si>
    <x:t xml:space="preserve">Klebsiella pneumoniae family 1 encapsulin shell</x:t>
  </x:si>
  <x:si>
    <x:t xml:space="preserve">Klebsiella pneumoniae</x:t>
  </x:si>
  <x:si>
    <x:t xml:space="preserve">Klebsiella</x:t>
  </x:si>
  <x:si>
    <x:t xml:space="preserve">GBV82_RS22365</x:t>
  </x:si>
  <x:si>
    <x:t xml:space="preserve">A0AAT8XUH9_ref</x:t>
  </x:si>
  <x:si>
    <x:t xml:space="preserve">Cargo: DyP (dye-decolorizing peroxidase). Mechanism: cargo C-terminal TP (TP-shell interaction structurally resolved).</x:t>
  </x:si>
  <x:si>
    <x:t xml:space="preserve">https://www.uniprot.org/uniprotkb/A0AAT8XUH9/entry</x:t>
  </x:si>
  <x:si>
    <x:t xml:space="preserve">8U50;8U51</x:t>
  </x:si>
  <x:si>
    <x:t xml:space="preserve">EMD-41905; EMD-41906</x:t>
  </x:si>
  <x:si>
    <x:t xml:space="preserve">Jones, Andreas &amp; Giessen 2024 Nat Commun 15:2558 (10.1038/s41467-024-46880-x, PMID 38519509); PDB 8U50/8U51/8U4Z</x:t>
  </x:si>
  <x:si>
    <x:t xml:space="preserve">T=1, 24 nm. Two open pores are reported: 5-fold ~0.9 nm and 3-fold ~0.3 nm. The 5-fold pore has a negative-exterior to positive-interior charge gradient.</x:t>
  </x:si>
  <x:si>
    <x:t xml:space="preserve">10.1038/s41467-024-46880-x</x:t>
  </x:si>
  <x:si>
    <x:t xml:space="preserve">A5IJ00</x:t>
  </x:si>
  <x:si>
    <x:t xml:space="preserve">ENCAP_THEP1</x:t>
  </x:si>
  <x:si>
    <x:t xml:space="preserve">Thermotoga petrophila</x:t>
  </x:si>
  <x:si>
    <x:t xml:space="preserve">ATCC BAA-488 / DSM 13995 / JCM 10881 / RKU-1</x:t>
  </x:si>
  <x:si>
    <x:t xml:space="preserve">Tpet_0144</x:t>
  </x:si>
  <x:si>
    <x:t xml:space="preserve">reviewed_annotation</x:t>
  </x:si>
  <x:si>
    <x:t xml:space="preserve">Flp / ferritin-like protein - C-terminal extension-mediated.</x:t>
  </x:si>
  <x:si>
    <x:t xml:space="preserve">https://www.uniprot.org/uniprotkb/A5IJ00/entry</x:t>
  </x:si>
  <x:si>
    <x:t xml:space="preserve">No direct experimental shell structure located for A5IJ00/T. petrophila. Structural properties of Q9WZP2 in the legacy row are homolog-based inference and must not be treated as direct measurements.</x:t>
  </x:si>
  <x:si>
    <x:t xml:space="preserve">T_number;shell_diameter;pore_data</x:t>
  </x:si>
  <x:si>
    <x:t xml:space="preserve">B1L7S2</x:t>
  </x:si>
  <x:si>
    <x:t xml:space="preserve">ENCAP_THESQ</x:t>
  </x:si>
  <x:si>
    <x:t xml:space="preserve">Thermotoga sp.</x:t>
  </x:si>
  <x:si>
    <x:t xml:space="preserve">RQ2</x:t>
  </x:si>
  <x:si>
    <x:t xml:space="preserve">TRQ2_0142</x:t>
  </x:si>
  <x:si>
    <x:t xml:space="preserve">https://www.uniprot.org/uniprotkb/B1L7S2/entry</x:t>
  </x:si>
  <x:si>
    <x:t xml:space="preserve">No direct experimental shell structure located for B1L7S2. Structural properties of Q9WZP2 in the legacy row are homolog-based inference and must not be treated as direct measurements.</x:t>
  </x:si>
  <x:si>
    <x:t xml:space="preserve">C0ZVK4</x:t>
  </x:si>
  <x:si>
    <x:t xml:space="preserve">ENCAP_RHOE4</x:t>
  </x:si>
  <x:si>
    <x:t xml:space="preserve">Rhodococcus erythropolis</x:t>
  </x:si>
  <x:si>
    <x:t xml:space="preserve">PR4 / NBRC 100887</x:t>
  </x:si>
  <x:si>
    <x:t xml:space="preserve">Rhodococcus</x:t>
  </x:si>
  <x:si>
    <x:t xml:space="preserve">RER_59900</x:t>
  </x:si>
  <x:si>
    <x:t xml:space="preserve">DyP-type peroxidase - C-terminal targeting-peptide-mediated; 37-aa C-terminal DyP sequence successfully loads heterologous EGFP and firefly luciferase.</x:t>
  </x:si>
  <x:si>
    <x:t xml:space="preserve">https://www.uniprot.org/uniprotkb/C0ZVK4/entry</x:t>
  </x:si>
  <x:si>
    <x:t xml:space="preserve">Tamura et al. 2015 Biotechnol Bioeng 112:13-20 (10.1002/bit.25322)</x:t>
  </x:si>
  <x:si>
    <x:t xml:space="preserve">C0ZVK4 is the R. erythropolis PR4 encapsulin gene adjacent to DyP C0ZVK5. The 60-mer/28 nm physical characterization was performed on the very closely related N771 encapsulin; treat these values as close-homolog evidence, not direct C0ZVK4 measurements.</x:t>
  </x:si>
  <x:si>
    <x:t xml:space="preserve">10.1002/bit.25322</x:t>
  </x:si>
  <x:si>
    <x:t xml:space="preserve">I3NID5</x:t>
  </x:si>
  <x:si>
    <x:t xml:space="preserve">ENCP2_MYCPA</x:t>
  </x:si>
  <x:si>
    <x:t xml:space="preserve">Type 2A encapsulin shell protein</x:t>
  </x:si>
  <x:si>
    <x:t xml:space="preserve">Mycolicibacterium paratuberculosis</x:t>
  </x:si>
  <x:si>
    <x:t xml:space="preserve">ATCC BAA-968 / K-10 |  ATCC 19698 / CIP 103963 / DSM 44133 / TMC 807</x:t>
  </x:si>
  <x:si>
    <x:t xml:space="preserve">enc2</x:t>
  </x:si>
  <x:si>
    <x:t xml:space="preserve">MAP_2121c</x:t>
  </x:si>
  <x:si>
    <x:t xml:space="preserve">N-terminal targeting-domain-mediated loading; 225-aa NTD of cysteine desulfurase is necessary and sufficient for cargo loading in the SrpI homolog system.</x:t>
  </x:si>
  <x:si>
    <x:t xml:space="preserve">https://www.uniprot.org/uniprotkb/I3NID5/entry</x:t>
  </x:si>
  <x:si>
    <x:t xml:space="preserve">Nichols et al. 2021 eLife (PMC8049743; MAP2121c/SrpI homolog study)</x:t>
  </x:si>
  <x:si>
    <x:t xml:space="preserve">MAP2121c is a pathogenic-mycobacterial SrpI homolog previously studied as a highly antigenic protein and directly associates with MAP2120c cysteine desulfurase. Legacy structural values derive from the SrpI homolog system.</x:t>
  </x:si>
  <x:si>
    <x:t xml:space="preserve">P46841</x:t>
  </x:si>
  <x:si>
    <x:t xml:space="preserve">ENCP2_MYCLE</x:t>
  </x:si>
  <x:si>
    <x:t xml:space="preserve">Mycobacterium leprae</x:t>
  </x:si>
  <x:si>
    <x:t xml:space="preserve">TN (Armadillo isolate)</x:t>
  </x:si>
  <x:si>
    <x:t xml:space="preserve">ML0841</x:t>
  </x:si>
  <x:si>
    <x:t xml:space="preserve">MLCB22.45c</x:t>
  </x:si>
  <x:si>
    <x:t xml:space="preserve">Probable encapsulation of cysteine desulfurase (CyD, O32975); loading mechanism not specified [By similarity].</x:t>
  </x:si>
  <x:si>
    <x:t xml:space="preserve">https://www.uniprot.org/uniprotkb/P46841/entry</x:t>
  </x:si>
  <x:si>
    <x:t xml:space="preserve">UniProt P46841</x:t>
  </x:si>
  <x:si>
    <x:t xml:space="preserve">Reviewed Type 2A shell annotation. UniProt reports T=1/24 nm and probable CyD encapsulation by similarity; keep those claims explicitly marked as by similarity.</x:t>
  </x:si>
  <x:si>
    <x:t xml:space="preserve">Q2RVS0</x:t>
  </x:si>
  <x:si>
    <x:t xml:space="preserve">ENCAP_RHORT</x:t>
  </x:si>
  <x:si>
    <x:t xml:space="preserve">Rhodospirillum rubrum</x:t>
  </x:si>
  <x:si>
    <x:t xml:space="preserve">ATCC 11170 / ATH 1.1.1 / DSM 467 / LMG 4362 / NCIMB 8255 / S1</x:t>
  </x:si>
  <x:si>
    <x:t xml:space="preserve">Rhodospirillum</x:t>
  </x:si>
  <x:si>
    <x:t xml:space="preserve">Rru_A0974</x:t>
  </x:si>
  <x:si>
    <x:t xml:space="preserve">Q2RVS0_ref</x:t>
  </x:si>
  <x:si>
    <x:t xml:space="preserve">C-terminal localization sequence-mediated EncFtn loading; conserved GSLK motif.</x:t>
  </x:si>
  <x:si>
    <x:t xml:space="preserve">https://www.uniprot.org/uniprotkb/Q2RVS0/entry</x:t>
  </x:si>
  <x:si>
    <x:t xml:space="preserve">9RY4;9RY7;9RZU;9S05;9RZM;9SQR</x:t>
  </x:si>
  <x:si>
    <x:t xml:space="preserve">EMD-54372;EMD-55116; EMD-54404; EMD-54408; EMD-54415; EMD-54373</x:t>
  </x:si>
  <x:si>
    <x:t xml:space="preserve">He et al. 2016; McIver et al. 2026; PDB 9RY4</x:t>
  </x:si>
  <x:si>
    <x:t xml:space="preserve">Rhodospirillum rubrum Type 1 encapsulin. T=1 and ~24 nm particle size are reported. Legacy row flags pore behavior as dynamic but does not isolate a numerical pore diameter.</x:t>
  </x:si>
  <x:si>
    <x:t xml:space="preserve">10.7554/eLife.18972; 10.1016/j.jsb.2026.108357</x:t>
  </x:si>
  <x:si>
    <x:t xml:space="preserve">Q48899</x:t>
  </x:si>
  <x:si>
    <x:t xml:space="preserve">ENCP2_MYCAV</x:t>
  </x:si>
  <x:si>
    <x:t xml:space="preserve">Mycobacterium avium</x:t>
  </x:si>
  <x:si>
    <x:t xml:space="preserve">IS94</x:t>
  </x:si>
  <x:si>
    <x:t xml:space="preserve">Probable encapsulation of CyD; by similarity. Probably involved in sulfur metabolism.</x:t>
  </x:si>
  <x:si>
    <x:t xml:space="preserve">https://www.uniprot.org/uniprotkb/Q48899/entry</x:t>
  </x:si>
  <x:si>
    <x:t xml:space="preserve">UniProt Q48899</x:t>
  </x:si>
  <x:si>
    <x:t xml:space="preserve">Reviewed Type 2A shell annotation from Mycobacterium avium. UniProt reports T=1, ~24 nm and probable CyD encapsulation by similarity; no direct structural characterization was curated.</x:t>
  </x:si>
  <x:si>
    <x:t xml:space="preserve">Q743F5</x:t>
  </x:si>
  <x:si>
    <x:t xml:space="preserve">ENCP1_MYCPA</x:t>
  </x:si>
  <x:si>
    <x:t xml:space="preserve">ATCC BAA-968 / K-10</x:t>
  </x:si>
  <x:si>
    <x:t xml:space="preserve">enc1</x:t>
  </x:si>
  <x:si>
    <x:t xml:space="preserve">MAP_0630c</x:t>
  </x:si>
  <x:si>
    <x:t xml:space="preserve">Cargo: DyP-type peroxidase. Loading: C-terminal extension-mediated. Cargo stoichiometry: probably only 1 DyP hexamer per shell.</x:t>
  </x:si>
  <x:si>
    <x:t xml:space="preserve">https://www.uniprot.org/uniprotkb/Q743F5/entry</x:t>
  </x:si>
  <x:si>
    <x:t xml:space="preserve">UniProt Q743F5</x:t>
  </x:si>
  <x:si>
    <x:t xml:space="preserve">Reviewed Type 1 shell annotation from Mycolicibacterium paratuberculosis. Legacy shell size 23-24 nm and DyP loading context are retained as annotation/context; no direct PDB was curated.</x:t>
  </x:si>
  <x:si>
    <x:t xml:space="preserve">A0A0M0F5E2</x:t>
  </x:si>
  <x:si>
    <x:t xml:space="preserve">A0A0M0F5E2_CELCE</x:t>
  </x:si>
  <x:si>
    <x:t xml:space="preserve">Cellulosimicrobium cellulans</x:t>
  </x:si>
  <x:si>
    <x:t xml:space="preserve">F16</x:t>
  </x:si>
  <x:si>
    <x:t xml:space="preserve">Cellulosimicrobium</x:t>
  </x:si>
  <x:si>
    <x:t xml:space="preserve">M768_19580</x:t>
  </x:si>
  <x:si>
    <x:t xml:space="preserve">predicted_only</x:t>
  </x:si>
  <x:si>
    <x:t xml:space="preserve">https://www.uniprot.org/uniprotkb/A0A0M0F5E2/entry</x:t>
  </x:si>
  <x:si>
    <x:t xml:space="preserve">UniProt A0A0M0F5E2</x:t>
  </x:si>
  <x:si>
    <x:t xml:space="preserve">Unreviewed UniProt Type 1 encapsulin shell protein prediction. No direct structural or biophysical characterization identified. Literature on C. cellulans F16 concerns a distinct xylanosome-like complex and was not assigned to this encapsulin.</x:t>
  </x:si>
  <x:si>
    <x:t xml:space="preserve">T_number;shell_diameter;pore_data;loading_info</x:t>
  </x:si>
  <x:si>
    <x:t xml:space="preserve">A0A1H8IZ71</x:t>
  </x:si>
  <x:si>
    <x:t xml:space="preserve">A0A1H8IZ71_9BACL</x:t>
  </x:si>
  <x:si>
    <x:t xml:space="preserve">Lihuaxuella thermophila</x:t>
  </x:si>
  <x:si>
    <x:t xml:space="preserve">DSM 46701</x:t>
  </x:si>
  <x:si>
    <x:t xml:space="preserve">Lihuaxuella</x:t>
  </x:si>
  <x:si>
    <x:t xml:space="preserve">SAMN05444955_1202</x:t>
  </x:si>
  <x:si>
    <x:t xml:space="preserve">https://www.uniprot.org/uniprotkb/A0A1H8IZ71/entry</x:t>
  </x:si>
  <x:si>
    <x:t xml:space="preserve">UniProt A0A1H8IZ71; genome annotation for L. thermophila (BacDive/IMG)</x:t>
  </x:si>
  <x:si>
    <x:t xml:space="preserve">Unreviewed predicted Type 1 shell. Shell annotation is also present in the L. thermophila genome annotation. No direct structural characterization identified; host growth temperature was not assigned as shell thermostability.</x:t>
  </x:si>
  <x:si>
    <x:t xml:space="preserve">A0A1I3S7Z3</x:t>
  </x:si>
  <x:si>
    <x:t xml:space="preserve">A0A1I3S7Z3_9BACL</x:t>
  </x:si>
  <x:si>
    <x:t xml:space="preserve">Thermoflavimicrobium dichotomicum</x:t>
  </x:si>
  <x:si>
    <x:t xml:space="preserve">DSM 44778</x:t>
  </x:si>
  <x:si>
    <x:t xml:space="preserve">Thermoflavimicrobium</x:t>
  </x:si>
  <x:si>
    <x:t xml:space="preserve">SAMN05421852_11215</x:t>
  </x:si>
  <x:si>
    <x:t xml:space="preserve">https://www.uniprot.org/uniprotkb/A0A1I3S7Z3/entry</x:t>
  </x:si>
  <x:si>
    <x:t xml:space="preserve">UniProt A0A1I3S7Z3</x:t>
  </x:si>
  <x:si>
    <x:t xml:space="preserve">Unreviewed predicted Type 1 shell. No direct PDB/EMDB, T-number, shell diameter, pore or loading characterization identified. Host thermophily was not assigned as shell thermostability.</x:t>
  </x:si>
  <x:si>
    <x:t xml:space="preserve">A0A1M7LGP9</x:t>
  </x:si>
  <x:si>
    <x:t xml:space="preserve">A0A1M7LGP9_9FIRM</x:t>
  </x:si>
  <x:si>
    <x:t xml:space="preserve">Caldanaerovirga acetigignens</x:t>
  </x:si>
  <x:si>
    <x:t xml:space="preserve">DSM 18802</x:t>
  </x:si>
  <x:si>
    <x:t xml:space="preserve">Caldanaerovirga</x:t>
  </x:si>
  <x:si>
    <x:t xml:space="preserve">SAMN05660826_01911</x:t>
  </x:si>
  <x:si>
    <x:t xml:space="preserve">https://www.uniprot.org/uniprotkb/A0A1M7LGP9/entry</x:t>
  </x:si>
  <x:si>
    <x:t xml:space="preserve">UniProt A0A1M7LGP9; Anuchina et al. 2025, bioRxiv 10.1101/2025.09.13.676036</x:t>
  </x:si>
  <x:si>
    <x:t xml:space="preserve">Unreviewed predicted Type 1 shell. A double ferritin-like protein from C. acetigignens was experimentally studied and is a plausible cargo candidate, but direct assignment to this shell requires confirmation. Host thermophily was not assigned as shell thermostability.</x:t>
  </x:si>
  <x:si>
    <x:t xml:space="preserve">10.1101/2025.09.13.676036</x:t>
  </x:si>
  <x:si>
    <x:t xml:space="preserve">A0A1Q8Q3M0</x:t>
  </x:si>
  <x:si>
    <x:t xml:space="preserve">A0A1Q8Q3M0_9BACI</x:t>
  </x:si>
  <x:si>
    <x:t xml:space="preserve">Domibacillus antri</x:t>
  </x:si>
  <x:si>
    <x:t xml:space="preserve">XD80</x:t>
  </x:si>
  <x:si>
    <x:t xml:space="preserve">Domibacillus</x:t>
  </x:si>
  <x:si>
    <x:t xml:space="preserve">BTO30_12115</x:t>
  </x:si>
  <x:si>
    <x:t xml:space="preserve">https://www.uniprot.org/uniprotkb/A0A1Q8Q3M0/entry</x:t>
  </x:si>
  <x:si>
    <x:t xml:space="preserve">UniProt A0A1Q8Q3M0</x:t>
  </x:si>
  <x:si>
    <x:t xml:space="preserve">Unreviewed predicted Type 1 shell. No direct structural characterization identified. Reports that the organism is capsule-forming refer to a bacterial cell capsule and are unrelated to encapsulin nanocompartments.</x:t>
  </x:si>
  <x:si>
    <x:t xml:space="preserve">A0A2I0SNU0</x:t>
  </x:si>
  <x:si>
    <x:t xml:space="preserve">A0A2I0SNU0_9ACTN</x:t>
  </x:si>
  <x:si>
    <x:t xml:space="preserve">Streptomyces populi</x:t>
  </x:si>
  <x:si>
    <x:t xml:space="preserve">A249</x:t>
  </x:si>
  <x:si>
    <x:t xml:space="preserve">Streptomyces</x:t>
  </x:si>
  <x:si>
    <x:t xml:space="preserve">CW362_18265</x:t>
  </x:si>
  <x:si>
    <x:t xml:space="preserve">https://www.uniprot.org/uniprotkb/A0A2I0SNU0/entry</x:t>
  </x:si>
  <x:si>
    <x:t xml:space="preserve">UniProt A0A2I0SNU0</x:t>
  </x:si>
  <x:si>
    <x:t xml:space="preserve">Predicted Type 1 encapsulin shell protein from Streptomyces populi. No direct experimental shell characterization identified. Pending systematic genomic-context cargo audit.</x:t>
  </x:si>
  <x:si>
    <x:t xml:space="preserve">A0A2T2X7V6</x:t>
  </x:si>
  <x:si>
    <x:t xml:space="preserve">A0A2T2X7V6_9FIRM</x:t>
  </x:si>
  <x:si>
    <x:t xml:space="preserve">Sulfobacillus benefaciens</x:t>
  </x:si>
  <x:si>
    <x:t xml:space="preserve">Sulfobacillus</x:t>
  </x:si>
  <x:si>
    <x:t xml:space="preserve">C7B43_05800</x:t>
  </x:si>
  <x:si>
    <x:t xml:space="preserve">removed</x:t>
  </x:si>
  <x:si>
    <x:t xml:space="preserve">UPI000D43B0E4</x:t>
  </x:si>
  <x:si>
    <x:t xml:space="preserve">REMOVED_FROM_UNIPROTKB: 
entry removed because it is not part of a reference proteome; sequence retained in UniParc UPI000D43B0E4.</x:t>
  </x:si>
  <x:si>
    <x:t xml:space="preserve">https://www.uniprot.org/uniprotkb/A0A2T2X7V6/entry</x:t>
  </x:si>
  <x:si>
    <x:t xml:space="preserve">UniProt A0A2T2X7V6</x:t>
  </x:si>
  <x:si>
    <x:t xml:space="preserve">Unreviewed predicted Type 1 shell. No direct characterization identified. Host acidophily/thermotolerance was not assigned as a shell stability property.</x:t>
  </x:si>
  <x:si>
    <x:t xml:space="preserve">A0A4R6RVW8</x:t>
  </x:si>
  <x:si>
    <x:t xml:space="preserve">A0A4R6RVW8_LABRH</x:t>
  </x:si>
  <x:si>
    <x:t xml:space="preserve">Labedaea rhizosphaerae</x:t>
  </x:si>
  <x:si>
    <x:t xml:space="preserve">DSM 45361</x:t>
  </x:si>
  <x:si>
    <x:t xml:space="preserve">Labedaea</x:t>
  </x:si>
  <x:si>
    <x:t xml:space="preserve">EV186_10975</x:t>
  </x:si>
  <x:si>
    <x:t xml:space="preserve">https://www.uniprot.org/uniprotkb/A0A4R6RVW8/entry</x:t>
  </x:si>
  <x:si>
    <x:t xml:space="preserve">UniProt A0A4R6RVW8</x:t>
  </x:si>
  <x:si>
    <x:t xml:space="preserve">Predicted Type 1 encapsulin shell protein from Labedaea rhizosphaerae. No direct experimental shell characterization identified. Pending systematic genomic-context cargo audit.</x:t>
  </x:si>
  <x:si>
    <x:t xml:space="preserve">A0A511V6Y5</x:t>
  </x:si>
  <x:si>
    <x:t xml:space="preserve">A0A511V6Y5_9BACL</x:t>
  </x:si>
  <x:si>
    <x:t xml:space="preserve">Aneurinibacillus danicus</x:t>
  </x:si>
  <x:si>
    <x:t xml:space="preserve">NBRC 102444</x:t>
  </x:si>
  <x:si>
    <x:t xml:space="preserve">Aneurinibacillus</x:t>
  </x:si>
  <x:si>
    <x:t xml:space="preserve">ADA01nite_11380</x:t>
  </x:si>
  <x:si>
    <x:t xml:space="preserve">https://www.uniprot.org/uniprotkb/A0A511V6Y5/entry</x:t>
  </x:si>
  <x:si>
    <x:t xml:space="preserve">UniProt A0A511V6Y5</x:t>
  </x:si>
  <x:si>
    <x:t xml:space="preserve">Unreviewed predicted Type 1 shell from Aneurinibacillus danicus. No direct characterization identified. Isolation/cultivation temperature was not assigned as shell thermostability.</x:t>
  </x:si>
  <x:si>
    <x:t xml:space="preserve">A0A5A7NS64</x:t>
  </x:si>
  <x:si>
    <x:t xml:space="preserve">A0A5A7NS64_9MICC</x:t>
  </x:si>
  <x:si>
    <x:t xml:space="preserve">Zafaria cholistanensis</x:t>
  </x:si>
  <x:si>
    <x:t xml:space="preserve">NCCP-1664</x:t>
  </x:si>
  <x:si>
    <x:t xml:space="preserve">Zafaria</x:t>
  </x:si>
  <x:si>
    <x:t xml:space="preserve">NCCP1664_21600</x:t>
  </x:si>
  <x:si>
    <x:t xml:space="preserve">https://www.uniprot.org/uniprotkb/A0A5A7NS64/entry</x:t>
  </x:si>
  <x:si>
    <x:t xml:space="preserve">UniProt A0A5A7NS64</x:t>
  </x:si>
  <x:si>
    <x:t xml:space="preserve">Unreviewed predicted Type 1 shell from Zafaria cholistanensis. No direct characterization identified. Host thermotolerance/halotolerance was not assigned as a shell stability property.</x:t>
  </x:si>
  <x:si>
    <x:t xml:space="preserve">A0A7V9Z0Q3</x:t>
  </x:si>
  <x:si>
    <x:t xml:space="preserve">A0A7V9Z0Q3_9BACL</x:t>
  </x:si>
  <x:si>
    <x:t xml:space="preserve">[Anoxybacillus] calidus</x:t>
  </x:si>
  <x:si>
    <x:t xml:space="preserve">DSM 25220</x:t>
  </x:si>
  <x:si>
    <x:t xml:space="preserve">[Anoxybacillus]</x:t>
  </x:si>
  <x:si>
    <x:t xml:space="preserve">HNQ85_002226</x:t>
  </x:si>
  <x:si>
    <x:t xml:space="preserve">https://www.uniprot.org/uniprotkb/A0A7V9Z0Q3/entry</x:t>
  </x:si>
  <x:si>
    <x:t xml:space="preserve">UniProt A0A7V9Z0Q3</x:t>
  </x:si>
  <x:si>
    <x:t xml:space="preserve">Unreviewed predicted Type 1 shell (locus HNQ85_002226). No direct characterization identified. Taxonomy may require later update from [Anoxybacillus] calidus to Paranoxybacillus calidus.</x:t>
  </x:si>
  <x:si>
    <x:t xml:space="preserve">A0A8J8KA31</x:t>
  </x:si>
  <x:si>
    <x:t xml:space="preserve">A0A8J8KA31_9BACI</x:t>
  </x:si>
  <x:si>
    <x:t xml:space="preserve">Calidifontibacillus erzurumensis</x:t>
  </x:si>
  <x:si>
    <x:t xml:space="preserve">P2</x:t>
  </x:si>
  <x:si>
    <x:t xml:space="preserve">Calidifontibacillus</x:t>
  </x:si>
  <x:si>
    <x:t xml:space="preserve">HR057_00510</x:t>
  </x:si>
  <x:si>
    <x:t xml:space="preserve">https://www.uniprot.org/uniprotkb/A0A8J8KA31/entry</x:t>
  </x:si>
  <x:si>
    <x:t xml:space="preserve">UniProt A0A8J8KA31</x:t>
  </x:si>
  <x:si>
    <x:t xml:space="preserve">Unreviewed predicted Type 1 shell from Calidifontibacillus erzurumensis. No direct characterization identified. Host cultivation at 55 °C was not assigned as shell thermostability.</x:t>
  </x:si>
  <x:si>
    <x:t xml:space="preserve">A0A938BNS5</x:t>
  </x:si>
  <x:si>
    <x:t xml:space="preserve">A0A938BNS5_9BACT</x:t>
  </x:si>
  <x:si>
    <x:t xml:space="preserve">Candidatus Tanganyikabacteria bacterium</x:t>
  </x:si>
  <x:si>
    <x:t xml:space="preserve">Candidatus</x:t>
  </x:si>
  <x:si>
    <x:t xml:space="preserve">FJZ00_11085</x:t>
  </x:si>
  <x:si>
    <x:t xml:space="preserve">UPI001D8A3635</x:t>
  </x:si>
  <x:si>
    <x:t xml:space="preserve">REMOVED_FROM_UNIPROTKB: 
entry removed because it is not part of a reference proteome; sequence retained in UniParc UPI001D8A3635.</x:t>
  </x:si>
  <x:si>
    <x:t xml:space="preserve">https://www.uniprot.org/uniprotkb/A0A938BNS5/entry</x:t>
  </x:si>
  <x:si>
    <x:t xml:space="preserve">UniProt A0A938BNS5</x:t>
  </x:si>
  <x:si>
    <x:t xml:space="preserve">Unreviewed predicted Type 1 shell from a Candidatus Tanganyikabacteria bacterium recovered from Lake Tanganyika metagenome-assembled genomes. No direct characterization identified.</x:t>
  </x:si>
  <x:si>
    <x:t xml:space="preserve">A0A951QF54</x:t>
  </x:si>
  <x:si>
    <x:t xml:space="preserve">A0A951QF54_9CYAN</x:t>
  </x:si>
  <x:si>
    <x:t xml:space="preserve">Drouetiella hepatica</x:t>
  </x:si>
  <x:si>
    <x:t xml:space="preserve">Uher 2000/2452</x:t>
  </x:si>
  <x:si>
    <x:t xml:space="preserve">Drouetiella</x:t>
  </x:si>
  <x:si>
    <x:t xml:space="preserve">KME15_16330</x:t>
  </x:si>
  <x:si>
    <x:t xml:space="preserve">UPI001D71A671</x:t>
  </x:si>
  <x:si>
    <x:t xml:space="preserve">REMOVED_FROM_UNIPROTKB: 
entry removed because it is not part of a reference proteome; sequence retained in UniParc UPI001D71A671.</x:t>
  </x:si>
  <x:si>
    <x:t xml:space="preserve">https://www.uniprot.org/uniprotkb/A0A951QF54/entry</x:t>
  </x:si>
  <x:si>
    <x:t xml:space="preserve">UniProt A0A951QF54</x:t>
  </x:si>
  <x:si>
    <x:t xml:space="preserve">Unreviewed predicted Type 1 shell from Drouetiella hepatica Uher 2000/2452. No direct characterization identified; the source genome was recovered in a metagenomic sequencing project.</x:t>
  </x:si>
  <x:si>
    <x:t xml:space="preserve">A0A9Y2KYQ9</x:t>
  </x:si>
  <x:si>
    <x:t xml:space="preserve">A0A9Y2KYQ9_9RHOB</x:t>
  </x:si>
  <x:si>
    <x:t xml:space="preserve">Family 1 encapsulin nanocompartment shell protein</x:t>
  </x:si>
  <x:si>
    <x:t xml:space="preserve">Parasedimentitalea psychrophila</x:t>
  </x:si>
  <x:si>
    <x:t xml:space="preserve">QS115</x:t>
  </x:si>
  <x:si>
    <x:t xml:space="preserve">Parasedimentitalea</x:t>
  </x:si>
  <x:si>
    <x:t xml:space="preserve">QPJ95_13300</x:t>
  </x:si>
  <x:si>
    <x:t xml:space="preserve">https://www.uniprot.org/uniprotkb/A0A9Y2KYQ9/entry</x:t>
  </x:si>
  <x:si>
    <x:t xml:space="preserve">UniProt A0A9Y2KYQ9</x:t>
  </x:si>
  <x:si>
    <x:t xml:space="preserve">Unreviewed predicted Family 1 shell from Parasedimentitalea psychrophila. No direct characterization identified. Host psychrophily was not assigned as shell stability.</x:t>
  </x:si>
  <x:si>
    <x:t xml:space="preserve">A0ABN3ZYW6</x:t>
  </x:si>
  <x:si>
    <x:t xml:space="preserve">A0ABN3ZYW6_GEOTH</x:t>
  </x:si>
  <x:si>
    <x:t xml:space="preserve">Geobacillus thermoleovorans</x:t>
  </x:si>
  <x:si>
    <x:t xml:space="preserve">CCB_US3_UF5</x:t>
  </x:si>
  <x:si>
    <x:t xml:space="preserve">Geobacillus</x:t>
  </x:si>
  <x:si>
    <x:t xml:space="preserve">GTCCBUS3UF5_10870</x:t>
  </x:si>
  <x:si>
    <x:t xml:space="preserve">https://www.uniprot.org/uniprotkb/A0ABN3ZYW6/entry</x:t>
  </x:si>
  <x:si>
    <x:t xml:space="preserve">UniProt A0ABN3ZYW6</x:t>
  </x:si>
  <x:si>
    <x:t xml:space="preserve">Unreviewed predicted Type 1 shell from Geobacillus thermoleovorans CCB_US3_UF5. No direct characterization identified. Host cultivation at 60 °C was not assigned as shell thermostability.</x:t>
  </x:si>
  <x:si>
    <x:t xml:space="preserve">A0ABP7DFF1</x:t>
  </x:si>
  <x:si>
    <x:t xml:space="preserve">A0ABP7DFF1_9MICC</x:t>
  </x:si>
  <x:si>
    <x:t xml:space="preserve">Arthrobacter ginkgonis</x:t>
  </x:si>
  <x:si>
    <x:t xml:space="preserve">JCM 30742</x:t>
  </x:si>
  <x:si>
    <x:t xml:space="preserve">Arthrobacter</x:t>
  </x:si>
  <x:si>
    <x:t xml:space="preserve">GCM10023081_44070</x:t>
  </x:si>
  <x:si>
    <x:t xml:space="preserve">https://www.uniprot.org/uniprotkb/A0ABP7DFF1/entry</x:t>
  </x:si>
  <x:si>
    <x:t xml:space="preserve">UniProt A0ABP7DFF1</x:t>
  </x:si>
  <x:si>
    <x:t xml:space="preserve">Unreviewed predicted Type 1 shell from Arthrobacter ginkgonis. A Family 1 shell annotation is also present in the genome; no direct structural characterization identified.</x:t>
  </x:si>
  <x:si>
    <x:t xml:space="preserve">A0ABQ6QMW9</x:t>
  </x:si>
  <x:si>
    <x:t xml:space="preserve">A0ABQ6QMW9_9BACT</x:t>
  </x:si>
  <x:si>
    <x:t xml:space="preserve">Corallococcus caeni</x:t>
  </x:si>
  <x:si>
    <x:t xml:space="preserve">NO1</x:t>
  </x:si>
  <x:si>
    <x:t xml:space="preserve">Corallococcus</x:t>
  </x:si>
  <x:si>
    <x:t xml:space="preserve">ASNO1_16230</x:t>
  </x:si>
  <x:si>
    <x:t xml:space="preserve">https://www.uniprot.org/uniprotkb/A0ABQ6QMW9/entry</x:t>
  </x:si>
  <x:si>
    <x:t xml:space="preserve">UniProt A0ABQ6QMW9</x:t>
  </x:si>
  <x:si>
    <x:t xml:space="preserve">Unreviewed predicted Family 1 shell from Corallococcus caeni. No direct characterization identified; available literature primarily concerns taxonomy and draft genome sequencing.</x:t>
  </x:si>
  <x:si>
    <x:t xml:space="preserve">A0ABS5L717</x:t>
  </x:si>
  <x:si>
    <x:t xml:space="preserve">A0ABS5L717_9ACTN</x:t>
  </x:si>
  <x:si>
    <x:t xml:space="preserve">Catenulispora pinistramenti</x:t>
  </x:si>
  <x:si>
    <x:t xml:space="preserve">NL8</x:t>
  </x:si>
  <x:si>
    <x:t xml:space="preserve">Catenulispora</x:t>
  </x:si>
  <x:si>
    <x:t xml:space="preserve">KGQ19_45505</x:t>
  </x:si>
  <x:si>
    <x:t xml:space="preserve">https://www.uniprot.org/uniprotkb/A0ABS5L717/entry</x:t>
  </x:si>
  <x:si>
    <x:t xml:space="preserve">UniProt A0ABS5L717</x:t>
  </x:si>
  <x:si>
    <x:t xml:space="preserve">Unreviewed predicted Type 1 shell from Catenulispora pinistramenti. No direct characterization identified; available literature concerns taxonomy, genomics and biosynthetic potential.</x:t>
  </x:si>
  <x:si>
    <x:t xml:space="preserve">A0ABS9H0C8</x:t>
  </x:si>
  <x:si>
    <x:t xml:space="preserve">A0ABS9H0C8_9BACL</x:t>
  </x:si>
  <x:si>
    <x:t xml:space="preserve">Pseudalkalibacillus berkeleyi</x:t>
  </x:si>
  <x:si>
    <x:t xml:space="preserve">KCTC 12718</x:t>
  </x:si>
  <x:si>
    <x:t xml:space="preserve">Pseudalkalibacillus</x:t>
  </x:si>
  <x:si>
    <x:t xml:space="preserve">L2716_05815</x:t>
  </x:si>
  <x:si>
    <x:t xml:space="preserve">https://www.uniprot.org/uniprotkb/A0ABS9H0C8/entry</x:t>
  </x:si>
  <x:si>
    <x:t xml:space="preserve">UniProt A0ABS9H0C8</x:t>
  </x:si>
  <x:si>
    <x:t xml:space="preserve">Unreviewed predicted Type 1 shell from Pseudalkalibacillus berkeleyi. No direct characterization identified. Former taxonomic names and host growth range were not treated as shell properties.</x:t>
  </x:si>
  <x:si>
    <x:t xml:space="preserve">A0ABT4AA91</x:t>
  </x:si>
  <x:si>
    <x:t xml:space="preserve">A0ABT4AA91_9BACT</x:t>
  </x:si>
  <x:si>
    <x:t xml:space="preserve">Archangium lansingense</x:t>
  </x:si>
  <x:si>
    <x:t xml:space="preserve">MIWBW</x:t>
  </x:si>
  <x:si>
    <x:t xml:space="preserve">Archangium</x:t>
  </x:si>
  <x:si>
    <x:t xml:space="preserve">OV287_29355</x:t>
  </x:si>
  <x:si>
    <x:t xml:space="preserve">https://www.uniprot.org/uniprotkb/A0ABT4AA91/entry</x:t>
  </x:si>
  <x:si>
    <x:t xml:space="preserve">UniProt A0ABT4AA91</x:t>
  </x:si>
  <x:si>
    <x:t xml:space="preserve">Unreviewed predicted Family 1 shell from Archangium lansingense. No direct characterization identified. Archangium lansingense is the corrected species spelling used in the curated note.</x:t>
  </x:si>
  <x:si>
    <x:t xml:space="preserve">A0ABT5CZW5</x:t>
  </x:si>
  <x:si>
    <x:t xml:space="preserve">A0ABT5CZW5_9BACT</x:t>
  </x:si>
  <x:si>
    <x:t xml:space="preserve">Stigmatella ashevillensis</x:t>
  </x:si>
  <x:si>
    <x:t xml:space="preserve">NCWAL01</x:t>
  </x:si>
  <x:si>
    <x:t xml:space="preserve">Stigmatella</x:t>
  </x:si>
  <x:si>
    <x:t xml:space="preserve">POL68_00620</x:t>
  </x:si>
  <x:si>
    <x:t xml:space="preserve">https://www.uniprot.org/uniprotkb/A0ABT5CZW5/entry</x:t>
  </x:si>
  <x:si>
    <x:t xml:space="preserve">UniProt A0ABT5CZW5</x:t>
  </x:si>
  <x:si>
    <x:t xml:space="preserve">Unreviewed predicted Family 1 shell. UniProt protein existence is inferred from homology. No direct characterization identified; the species has been transferred to Allostigmatella ashevillensis while UniProt retains Stigmatella ashevillensis.</x:t>
  </x:si>
  <x:si>
    <x:t xml:space="preserve">A0ABU5HDM0</x:t>
  </x:si>
  <x:si>
    <x:t xml:space="preserve">A0ABU5HDM0_9BACT</x:t>
  </x:si>
  <x:si>
    <x:t xml:space="preserve">Hyalangium rubrum</x:t>
  </x:si>
  <x:si>
    <x:t xml:space="preserve">s54d21</x:t>
  </x:si>
  <x:si>
    <x:t xml:space="preserve">Hyalangium</x:t>
  </x:si>
  <x:si>
    <x:t xml:space="preserve">SYV04_34630</x:t>
  </x:si>
  <x:si>
    <x:t xml:space="preserve">https://www.uniprot.org/uniprotkb/A0ABU5HDM0/entry</x:t>
  </x:si>
  <x:si>
    <x:t xml:space="preserve">UniProt A0ABU5HDM0</x:t>
  </x:si>
  <x:si>
    <x:t xml:space="preserve">Unreviewed predicted Family 1 shell from Hyalangium rubrum. No direct characterization identified. Hyalangium rubrum is the corrected species name.</x:t>
  </x:si>
  <x:si>
    <x:t xml:space="preserve">A0ABU9D8Y7</x:t>
  </x:si>
  <x:si>
    <x:t xml:space="preserve">A0ABU9D8Y7_9PROT</x:t>
  </x:si>
  <x:si>
    <x:t xml:space="preserve">Thermithiobacillus plumbiphilus</x:t>
  </x:si>
  <x:si>
    <x:t xml:space="preserve">AAFK</x:t>
  </x:si>
  <x:si>
    <x:t xml:space="preserve">Thermithiobacillus</x:t>
  </x:si>
  <x:si>
    <x:t xml:space="preserve">WOB96_09460</x:t>
  </x:si>
  <x:si>
    <x:t xml:space="preserve">https://www.uniprot.org/uniprotkb/A0ABU9D8Y7/entry</x:t>
  </x:si>
  <x:si>
    <x:t xml:space="preserve">UniProt A0ABU9D8Y7</x:t>
  </x:si>
  <x:si>
    <x:t xml:space="preserve">Unreviewed predicted Family 1 shell from Thermithiobacillus plumbiphilus. No direct characterization identified; host sulfur-oxidizing physiology was not assigned to the shell.</x:t>
  </x:si>
  <x:si>
    <x:t xml:space="preserve">A0ABW2RFE6</x:t>
  </x:si>
  <x:si>
    <x:t xml:space="preserve">A0ABW2RFE6_9BACL</x:t>
  </x:si>
  <x:si>
    <x:t xml:space="preserve">Laceyella putida</x:t>
  </x:si>
  <x:si>
    <x:t xml:space="preserve">CGMCC 1.12942</x:t>
  </x:si>
  <x:si>
    <x:t xml:space="preserve">Laceyella</x:t>
  </x:si>
  <x:si>
    <x:t xml:space="preserve">ACFQNG_00435</x:t>
  </x:si>
  <x:si>
    <x:t xml:space="preserve">https://www.uniprot.org/uniprotkb/A0ABW2RFE6/entry</x:t>
  </x:si>
  <x:si>
    <x:t xml:space="preserve">UniProt A0ABW2RFE6</x:t>
  </x:si>
  <x:si>
    <x:t xml:space="preserve">Unreviewed predicted Type 1 shell from Laceyella putida. No direct characterization identified. Former taxonomic name and host cultivation temperature were not assigned as shell properties.</x:t>
  </x:si>
  <x:si>
    <x:t xml:space="preserve">A0ABY8J3I8</x:t>
  </x:si>
  <x:si>
    <x:t xml:space="preserve">A0ABY8J3I8_9BACI</x:t>
  </x:si>
  <x:si>
    <x:t xml:space="preserve">Halobacillus naozhouensis</x:t>
  </x:si>
  <x:si>
    <x:t xml:space="preserve">KCTC 13234</x:t>
  </x:si>
  <x:si>
    <x:t xml:space="preserve">Halobacillus</x:t>
  </x:si>
  <x:si>
    <x:t xml:space="preserve">P9989_19335</x:t>
  </x:si>
  <x:si>
    <x:t xml:space="preserve">https://www.uniprot.org/uniprotkb/A0ABY8J3I8/entry</x:t>
  </x:si>
  <x:si>
    <x:t xml:space="preserve">UniProt A0ABY8J3I8</x:t>
  </x:si>
  <x:si>
    <x:t xml:space="preserve">Unreviewed predicted Type 1 shell (locus P9989_19335) from Halobacillus naozhouensis. No direct characterization identified; host salt tolerance was not assigned as shell stability.</x:t>
  </x:si>
  <x:si>
    <x:t xml:space="preserve">A0ABZ0HWD7</x:t>
  </x:si>
  <x:si>
    <x:t xml:space="preserve">A0ABZ0HWD7_9HYPH</x:t>
  </x:si>
  <x:si>
    <x:t xml:space="preserve">Methylocapsa polymorpha</x:t>
  </x:si>
  <x:si>
    <x:t xml:space="preserve">RX1</x:t>
  </x:si>
  <x:si>
    <x:t xml:space="preserve">Methylocapsa</x:t>
  </x:si>
  <x:si>
    <x:t xml:space="preserve">RZS28_08075</x:t>
  </x:si>
  <x:si>
    <x:t xml:space="preserve">https://www.uniprot.org/uniprotkb/A0ABZ0HWD7/entry</x:t>
  </x:si>
  <x:si>
    <x:t xml:space="preserve">UniProt A0ABZ0HWD7</x:t>
  </x:si>
  <x:si>
    <x:t xml:space="preserve">Unreviewed predicted Family 1 shell (locus RZS28_08075) from Methylocapsa polymorpha RX1. A different encapsulin from related M. acidiphila has been characterized, but those measurements were not transferred.</x:t>
  </x:si>
  <x:si>
    <x:t xml:space="preserve">A0A010Z2Q7</x:t>
  </x:si>
  <x:si>
    <x:t xml:space="preserve">A0A010Z2Q7_9ACTN</x:t>
  </x:si>
  <x:si>
    <x:t xml:space="preserve">Cryptosporangium arvum</x:t>
  </x:si>
  <x:si>
    <x:t xml:space="preserve">DSM 44712</x:t>
  </x:si>
  <x:si>
    <x:t xml:space="preserve">Cryptosporangium</x:t>
  </x:si>
  <x:si>
    <x:t xml:space="preserve">CryarDRAFT_2822</x:t>
  </x:si>
  <x:si>
    <x:t xml:space="preserve">https://www.uniprot.org/uniprotkb/A0A010Z2Q7/entry</x:t>
  </x:si>
  <x:si>
    <x:t xml:space="preserve">UniProt A0A010Z2Q7</x:t>
  </x:si>
  <x:si>
    <x:t xml:space="preserve">Predicted Type 1 encapsulin shell protein from Cryptosporangium arvum. No direct experimental shell characterization identified. Pending systematic genomic-context cargo audit.</x:t>
  </x:si>
  <x:si>
    <x:t xml:space="preserve">A0A024K4U0</x:t>
  </x:si>
  <x:si>
    <x:t xml:space="preserve">A0A024K4U0_9MYCO</x:t>
  </x:si>
  <x:si>
    <x:t xml:space="preserve">Mycobacterium triplex</x:t>
  </x:si>
  <x:si>
    <x:t xml:space="preserve">DSM 44626</x:t>
  </x:si>
  <x:si>
    <x:t xml:space="preserve">AWC29_15025</x:t>
  </x:si>
  <x:si>
    <x:t xml:space="preserve">https://www.uniprot.org/uniprotkb/A0A024K4U0/entry</x:t>
  </x:si>
  <x:si>
    <x:t xml:space="preserve">UniProt A0A024K4U0</x:t>
  </x:si>
  <x:si>
    <x:t xml:space="preserve">Predicted Type 1 encapsulin shell protein from Mycobacterium triplex. No direct experimental shell characterization identified. Pending systematic genomic-context cargo audit.</x:t>
  </x:si>
  <x:si>
    <x:t xml:space="preserve">A0A051TTE2</x:t>
  </x:si>
  <x:si>
    <x:t xml:space="preserve">A0A051TTE2_9MYCO</x:t>
  </x:si>
  <x:si>
    <x:t xml:space="preserve">Mycobacterium [tuberculosis]</x:t>
  </x:si>
  <x:si>
    <x:t xml:space="preserve">TKK-01-0051</x:t>
  </x:si>
  <x:si>
    <x:t xml:space="preserve">K875_05177</x:t>
  </x:si>
  <x:si>
    <x:t xml:space="preserve">https://www.uniprot.org/uniprotkb/A0A051TTE2/entry</x:t>
  </x:si>
  <x:si>
    <x:t xml:space="preserve">UniProt A0A051TTE2</x:t>
  </x:si>
  <x:si>
    <x:t xml:space="preserve">Unreviewed predicted Type 1 shell (locus K875_05177). Taxonomic context places the source strain within the M. avium complex / M. colombiense rather than M. tuberculosis H37Rv; do not treat as a duplicate of I6WZG6.</x:t>
  </x:si>
  <x:si>
    <x:t xml:space="preserve">A0A064CFW5</x:t>
  </x:si>
  <x:si>
    <x:t xml:space="preserve">A0A064CFW5_9MYCO</x:t>
  </x:si>
  <x:si>
    <x:t xml:space="preserve">Mycolicibacterium aromaticivorans</x:t>
  </x:si>
  <x:si>
    <x:t xml:space="preserve">JS19b1</x:t>
  </x:si>
  <x:si>
    <x:t xml:space="preserve">Y900_009675</x:t>
  </x:si>
  <x:si>
    <x:t xml:space="preserve">https://www.uniprot.org/uniprotkb/A0A064CFW5/entry</x:t>
  </x:si>
  <x:si>
    <x:t xml:space="preserve">UniProt A0A064CFW5</x:t>
  </x:si>
  <x:si>
    <x:t xml:space="preserve">Potential peroxidase cargo candidate Y900_009670 identified by genomic adjacency to predicted shell gene Y900_009675; not experimentally demonstrated. Pending systematic genomic-context cargo audit.</x:t>
  </x:si>
  <x:si>
    <x:t xml:space="preserve">A0A066Z7H2</x:t>
  </x:si>
  <x:si>
    <x:t xml:space="preserve">A0A066Z7H2_9ACTN</x:t>
  </x:si>
  <x:si>
    <x:t xml:space="preserve">Kitasatospora cheerisanensis</x:t>
  </x:si>
  <x:si>
    <x:t xml:space="preserve">KCTC 2395</x:t>
  </x:si>
  <x:si>
    <x:t xml:space="preserve">Kitasatospora</x:t>
  </x:si>
  <x:si>
    <x:t xml:space="preserve">KCH_19470</x:t>
  </x:si>
  <x:si>
    <x:t xml:space="preserve">https://www.uniprot.org/uniprotkb/A0A066Z7H2/entry</x:t>
  </x:si>
  <x:si>
    <x:t xml:space="preserve">UniProt A0A066Z7H2</x:t>
  </x:si>
  <x:si>
    <x:t xml:space="preserve">Unreviewed predicted Type 1 shell from Kitasatospora cheerisanensis KCTC 2395. No direct characterization identified. Pending systematic genomic-context cargo audit.</x:t>
  </x:si>
  <x:si>
    <x:t xml:space="preserve">A0A069RM29</x:t>
  </x:si>
  <x:si>
    <x:t xml:space="preserve">A0A069RM29_PEPLI</x:t>
  </x:si>
  <x:si>
    <x:t xml:space="preserve">Peptoclostridium litorale</x:t>
  </x:si>
  <x:si>
    <x:t xml:space="preserve">W6 / DSM 5388 / ATCC 49638</x:t>
  </x:si>
  <x:si>
    <x:t xml:space="preserve">Peptoclostridium</x:t>
  </x:si>
  <x:si>
    <x:t xml:space="preserve">CLIT_11c02860</x:t>
  </x:si>
  <x:si>
    <x:t xml:space="preserve">https://www.uniprot.org/uniprotkb/A0A069RM29/entry</x:t>
  </x:si>
  <x:si>
    <x:t xml:space="preserve">UniProt A0A069RM29</x:t>
  </x:si>
  <x:si>
    <x:t xml:space="preserve">Unreviewed predicted Type 1 shell from Peptoclostridium litorale DSM 5388. No direct characterization identified. Pending systematic genomic-context cargo audit.</x:t>
  </x:si>
  <x:si>
    <x:t xml:space="preserve">A0A072NMH9</x:t>
  </x:si>
  <x:si>
    <x:t xml:space="preserve">Schinkia azotoformans</x:t>
  </x:si>
  <x:si>
    <x:t xml:space="preserve">MEV2011</x:t>
  </x:si>
  <x:si>
    <x:t xml:space="preserve">Schinkia</x:t>
  </x:si>
  <x:si>
    <x:t xml:space="preserve">M670_02511</x:t>
  </x:si>
  <x:si>
    <x:t xml:space="preserve">UPI00029234C2</x:t>
  </x:si>
  <x:si>
    <x:t xml:space="preserve">https://www.uniprot.org/uniprotkb/A0A072NMH9/entry</x:t>
  </x:si>
  <x:si>
    <x:t xml:space="preserve">UniProt A0A072NMH9</x:t>
  </x:si>
  <x:si>
    <x:t xml:space="preserve">Unreviewed predicted Type 1 shell from Schinkia azotoformans MEV2011. Formerly reported as Bacillus azotoformans MEV2011. No direct characterization identified.</x:t>
  </x:si>
  <x:si>
    <x:t xml:space="preserve">A0A502IA18</x:t>
  </x:si>
  <x:si>
    <x:t xml:space="preserve">A0A502IA18_BRELA</x:t>
  </x:si>
  <x:si>
    <x:t xml:space="preserve">Brevibacillus laterosporus</x:t>
  </x:si>
  <x:si>
    <x:t xml:space="preserve">1821L</x:t>
  </x:si>
  <x:si>
    <x:t xml:space="preserve">Brevibacillus</x:t>
  </x:si>
  <x:si>
    <x:t xml:space="preserve">EEL30_01270</x:t>
  </x:si>
  <x:si>
    <x:t xml:space="preserve">experimental_shell</x:t>
  </x:si>
  <x:si>
    <x:t xml:space="preserve">A0A502IA18_exp</x:t>
  </x:si>
  <x:si>
    <x:t xml:space="preserve">https://www.uniprot.org/uniprotkb/A0A502IA18/entry</x:t>
  </x:si>
  <x:si>
    <x:t xml:space="preserve">UniProt A0A502IA18; GenBank WP_113757162.1; Babar et al. 2023</x:t>
  </x:si>
  <x:si>
    <x:t xml:space="preserve">Curator-selected replacement for A0A075R6D8. This accession corresponds to the experimentally investigated ~30 kDa putative encapsulating protein from Brevibacillus laterosporus Bl 1821L. Purified preparations showed globular/capsid-like structures by TEM; no quantitative shell metrics were curated.</x:t>
  </x:si>
  <x:si>
    <x:t xml:space="preserve">10.1007/s00253-023-12563-8</x:t>
  </x:si>
  <x:si>
    <x:t xml:space="preserve">A0A076EZF5</x:t>
  </x:si>
  <x:si>
    <x:t xml:space="preserve">A0A076EZF5_RHOOP</x:t>
  </x:si>
  <x:si>
    <x:t xml:space="preserve">Rhodococcus opacus</x:t>
  </x:si>
  <x:si>
    <x:t xml:space="preserve">IEGM 249</x:t>
  </x:si>
  <x:si>
    <x:t xml:space="preserve">O4328_13620</x:t>
  </x:si>
  <x:si>
    <x:t xml:space="preserve">https://www.uniprot.org/uniprotkb/A0A076EZF5/entry</x:t>
  </x:si>
  <x:si>
    <x:t xml:space="preserve">UniProt A0A076EZF5; InterPro PIRSF019254; Rahmanpour &amp; Bugg 2013 (R. opacus B4 homologous system)</x:t>
  </x:si>
  <x:si>
    <x:t xml:space="preserve">Unreviewed predicted Type 1 shell from Rhodococcus opacus. Type 1 encapsulin-DypB systems are described in other R. opacus strains, but those observations were not assigned directly to A0A076EZF5. Pending systematic genomic-context cargo audit.</x:t>
  </x:si>
  <x:si>
    <x:t xml:space="preserve">10.1111/febs.12234</x:t>
  </x:si>
  <x:si>
    <x:t xml:space="preserve">A0A077LYF1</x:t>
  </x:si>
  <x:si>
    <x:t xml:space="preserve">A0A077LYF1_9MICO</x:t>
  </x:si>
  <x:si>
    <x:t xml:space="preserve">Nostocoides japonicum</x:t>
  </x:si>
  <x:si>
    <x:t xml:space="preserve">T1-X7</x:t>
  </x:si>
  <x:si>
    <x:t xml:space="preserve">Nostocoides</x:t>
  </x:si>
  <x:si>
    <x:t xml:space="preserve">BN12_1560040</x:t>
  </x:si>
  <x:si>
    <x:t xml:space="preserve">https://www.uniprot.org/uniprotkb/A0A077LYF1/entry</x:t>
  </x:si>
  <x:si>
    <x:t xml:space="preserve">UniProt A0A077LYF1; InterPro PIRSF019254</x:t>
  </x:si>
  <x:si>
    <x:t xml:space="preserve">Unreviewed predicted Type 1 shell from Nostocoides japonicum T1-X7. InterPro/PIRSF019254 also classifies it as a Type 1 shell. Formerly classified as Tetrasphaera japonica.</x:t>
  </x:si>
  <x:si>
    <x:t xml:space="preserve">A0A0B2BNB7</x:t>
  </x:si>
  <x:si>
    <x:t xml:space="preserve">A0A0B2BNB7_9ACTN</x:t>
  </x:si>
  <x:si>
    <x:t xml:space="preserve">Mumia flava</x:t>
  </x:si>
  <x:si>
    <x:t xml:space="preserve">DSM 27763</x:t>
  </x:si>
  <x:si>
    <x:t xml:space="preserve">Mumia</x:t>
  </x:si>
  <x:si>
    <x:t xml:space="preserve">CLV56_1431</x:t>
  </x:si>
  <x:si>
    <x:t xml:space="preserve">https://www.uniprot.org/uniprotkb/A0A0B2BNB7/entry</x:t>
  </x:si>
  <x:si>
    <x:t xml:space="preserve">UniProt A0A0B2BNB7</x:t>
  </x:si>
  <x:si>
    <x:t xml:space="preserve">Predicted Type 1 encapsulin shell protein from Mumia flava. No direct experimental shell characterization identified. Pending systematic genomic-context cargo audit.</x:t>
  </x:si>
  <x:si>
    <x:t xml:space="preserve">A0A0B5DEK1</x:t>
  </x:si>
  <x:si>
    <x:t xml:space="preserve">A0A0B5DEK1_9ACTN</x:t>
  </x:si>
  <x:si>
    <x:t xml:space="preserve">Streptomyces nodosus</x:t>
  </x:si>
  <x:si>
    <x:t xml:space="preserve">ATCC 14899</x:t>
  </x:si>
  <x:si>
    <x:t xml:space="preserve">SNOD_01550</x:t>
  </x:si>
  <x:si>
    <x:t xml:space="preserve">https://www.uniprot.org/uniprotkb/A0A0B5DEK1/entry</x:t>
  </x:si>
  <x:si>
    <x:t xml:space="preserve">UniProt A0A0B5DEK1</x:t>
  </x:si>
  <x:si>
    <x:t xml:space="preserve">Unreviewed predicted Type 1 shell from Streptomyces nodosus. Literature on "encapsulated Streptomyces nodosus" refers to artificial immobilization of cells in alginate capsules and is unrelated to encapsulin nanocompartments.</x:t>
  </x:si>
  <x:si>
    <x:t xml:space="preserve">A0A0B5IIS0</x:t>
  </x:si>
  <x:si>
    <x:t xml:space="preserve">A0A0B5IIS0_9ACTN</x:t>
  </x:si>
  <x:si>
    <x:t xml:space="preserve">Streptomyces vietnamensis</x:t>
  </x:si>
  <x:si>
    <x:t xml:space="preserve">GIMV4.0001</x:t>
  </x:si>
  <x:si>
    <x:t xml:space="preserve">SVTN_31925</x:t>
  </x:si>
  <x:si>
    <x:t xml:space="preserve">https://www.uniprot.org/uniprotkb/A0A0B5IIS0/entry</x:t>
  </x:si>
  <x:si>
    <x:t xml:space="preserve">UniProt A0A0B5IIS0</x:t>
  </x:si>
  <x:si>
    <x:t xml:space="preserve">Predicted Type 1 shell from Streptomyces vietnamensis GIMV4.0001T. No direct experimental shell characterization identified. Pending systematic genomic-context cargo audit.</x:t>
  </x:si>
  <x:si>
    <x:t xml:space="preserve">A0A0B8N630</x:t>
  </x:si>
  <x:si>
    <x:t xml:space="preserve">A0A0B8N630_9NOCA</x:t>
  </x:si>
  <x:si>
    <x:t xml:space="preserve">Nocardia seriolae</x:t>
  </x:si>
  <x:si>
    <x:t xml:space="preserve">U-1</x:t>
  </x:si>
  <x:si>
    <x:t xml:space="preserve">Nocardia</x:t>
  </x:si>
  <x:si>
    <x:t xml:space="preserve">NSK11_contig00002-0025</x:t>
  </x:si>
  <x:si>
    <x:t xml:space="preserve">https://www.uniprot.org/uniprotkb/A0A0B8N630/entry</x:t>
  </x:si>
  <x:si>
    <x:t xml:space="preserve">UniProt A0A0B8N630</x:t>
  </x:si>
  <x:si>
    <x:t xml:space="preserve">Predicted Type 1 shell from Nocardia seriolae. Proteome context is consistent with strain N-2927 (NBRC 110360), but no direct shell characterization was identified.</x:t>
  </x:si>
  <x:si>
    <x:t xml:space="preserve">A0A0B8ZXE8</x:t>
  </x:si>
  <x:si>
    <x:t xml:space="preserve">A0A0B8ZXE8_BRELN</x:t>
  </x:si>
  <x:si>
    <x:t xml:space="preserve">AE038-8</x:t>
  </x:si>
  <x:si>
    <x:t xml:space="preserve">AE0388_3013</x:t>
  </x:si>
  <x:si>
    <x:t xml:space="preserve">https://www.uniprot.org/uniprotkb/A0A0B8ZXE8/entry</x:t>
  </x:si>
  <x:si>
    <x:t xml:space="preserve">UniProt A0A0B8ZXE8</x:t>
  </x:si>
  <x:si>
    <x:t xml:space="preserve">Predicted Type 1 shell from Brevibacterium linens. Q45296 is a same-species structurally characterized entry; equivalence was not established, so no properties were transferred.</x:t>
  </x:si>
  <x:si>
    <x:t xml:space="preserve">A0A0D0PGX2</x:t>
  </x:si>
  <x:si>
    <x:t xml:space="preserve">A0A0D0PGX2_KITGR</x:t>
  </x:si>
  <x:si>
    <x:t xml:space="preserve">Kitasatospora griseola</x:t>
  </x:si>
  <x:si>
    <x:t xml:space="preserve">MF730-N6</x:t>
  </x:si>
  <x:si>
    <x:t xml:space="preserve">TR51_20205</x:t>
  </x:si>
  <x:si>
    <x:t xml:space="preserve">https://www.uniprot.org/uniprotkb/A0A0D0PGX2/entry</x:t>
  </x:si>
  <x:si>
    <x:t xml:space="preserve">UniProt A0A0D0PGX2</x:t>
  </x:si>
  <x:si>
    <x:t xml:space="preserve">Predicted Type 1 shell from Kitasatospora griseola (syn. Streptomyces griseolosporeus). No direct experimental shell characterization identified.</x:t>
  </x:si>
  <x:si>
    <x:t xml:space="preserve">A0A0D1L751</x:t>
  </x:si>
  <x:si>
    <x:t xml:space="preserve">A0A0D1L751_9MYCO</x:t>
  </x:si>
  <x:si>
    <x:t xml:space="preserve">Mycolicibacterium llatzerense</x:t>
  </x:si>
  <x:si>
    <x:t xml:space="preserve">CLUC14</x:t>
  </x:si>
  <x:si>
    <x:t xml:space="preserve">TL10_25930</x:t>
  </x:si>
  <x:si>
    <x:t xml:space="preserve">https://www.uniprot.org/uniprotkb/A0A0D1L751/entry</x:t>
  </x:si>
  <x:si>
    <x:t xml:space="preserve">UniProt A0A0D1L751</x:t>
  </x:si>
  <x:si>
    <x:t xml:space="preserve">Predicted Type 1 shell from Mycolicibacterium llatzerense. No direct characterization identified. Taxonomic naming differs between LPSN and UniProt/NCBI.</x:t>
  </x:si>
  <x:si>
    <x:t xml:space="preserve">A0A0D1VV73</x:t>
  </x:si>
  <x:si>
    <x:t xml:space="preserve">A0A0D1VV73_ANEMI</x:t>
  </x:si>
  <x:si>
    <x:t xml:space="preserve">Aneurinibacillus migulanus</x:t>
  </x:si>
  <x:si>
    <x:t xml:space="preserve">DSM 2895</x:t>
  </x:si>
  <x:si>
    <x:t xml:space="preserve">AF333_12370</x:t>
  </x:si>
  <x:si>
    <x:t xml:space="preserve">https://www.uniprot.org/uniprotkb/A0A0D1VV73/entry</x:t>
  </x:si>
  <x:si>
    <x:t xml:space="preserve">UniProt A0A0D1VV73</x:t>
  </x:si>
  <x:si>
    <x:t xml:space="preserve">Predicted Type 1 shell from Aneurinibacillus migulanus (syn. Bacillus migulanus). No direct experimental shell characterization identified.</x:t>
  </x:si>
  <x:si>
    <x:t xml:space="preserve">A0A0D5NS11</x:t>
  </x:si>
  <x:si>
    <x:t xml:space="preserve">A0A0D5NS11_9BACL</x:t>
  </x:si>
  <x:si>
    <x:t xml:space="preserve">Paenibacillus beijingensis</x:t>
  </x:si>
  <x:si>
    <x:t xml:space="preserve">DSM 24997</x:t>
  </x:si>
  <x:si>
    <x:t xml:space="preserve">Paenibacillus</x:t>
  </x:si>
  <x:si>
    <x:t xml:space="preserve">VN24_15910</x:t>
  </x:si>
  <x:si>
    <x:t xml:space="preserve">https://www.uniprot.org/uniprotkb/A0A0D5NS11/entry</x:t>
  </x:si>
  <x:si>
    <x:t xml:space="preserve">UniProt A0A0D5NS11</x:t>
  </x:si>
  <x:si>
    <x:t xml:space="preserve">Predicted Type 1 shell from Paenibacillus beijingensis. No direct experimental shell characterization identified.</x:t>
  </x:si>
  <x:si>
    <x:t xml:space="preserve">A0A0D8BGZ0</x:t>
  </x:si>
  <x:si>
    <x:t xml:space="preserve">A0A0D8BGZ0_9ACTN</x:t>
  </x:si>
  <x:si>
    <x:t xml:space="preserve">Frankia torreyi</x:t>
  </x:si>
  <x:si>
    <x:t xml:space="preserve">CpI1-S</x:t>
  </x:si>
  <x:si>
    <x:t xml:space="preserve">Frankia</x:t>
  </x:si>
  <x:si>
    <x:t xml:space="preserve">FF36_01997</x:t>
  </x:si>
  <x:si>
    <x:t xml:space="preserve">https://www.uniprot.org/uniprotkb/A0A0D8BGZ0/entry</x:t>
  </x:si>
  <x:si>
    <x:t xml:space="preserve">UniProt A0A0D8BGZ0</x:t>
  </x:si>
  <x:si>
    <x:t xml:space="preserve">Predicted Type 1 shell from Frankia torreyi. No direct experimental shell characterization identified.</x:t>
  </x:si>
  <x:si>
    <x:t xml:space="preserve">A0A1Y2N7J2</x:t>
  </x:si>
  <x:si>
    <x:t xml:space="preserve">A0A1Y2N7J2_PSEAH</x:t>
  </x:si>
  <x:si>
    <x:t xml:space="preserve">Pseudonocardia autotrophica</x:t>
  </x:si>
  <x:si>
    <x:t xml:space="preserve">DSM 535</x:t>
  </x:si>
  <x:si>
    <x:t xml:space="preserve">Pseudonocardia</x:t>
  </x:si>
  <x:si>
    <x:t xml:space="preserve">BG845_00764</x:t>
  </x:si>
  <x:si>
    <x:t xml:space="preserve">https://www.uniprot.org/uniprotkb/A0A1Y2N7J2/entry</x:t>
  </x:si>
  <x:si>
    <x:t xml:space="preserve">UniProt A0A1Y2N7J2</x:t>
  </x:si>
  <x:si>
    <x:t xml:space="preserve">Predicted Type 1 shell from Pseudonocardia autotrophica (syn. Amycolata autotrophica / Nocardia autotrophica). No direct experimental shell characterization identified.</x:t>
  </x:si>
  <x:si>
    <x:t xml:space="preserve">Q0SE23</x:t>
  </x:si>
  <x:si>
    <x:t xml:space="preserve">Rhodococcus jostii</x:t>
  </x:si>
  <x:si>
    <x:t xml:space="preserve">RHA1</x:t>
  </x:si>
  <x:si>
    <x:t xml:space="preserve">RHA1_ro02408</x:t>
  </x:si>
  <x:si>
    <x:t xml:space="preserve">UPI0000DBA11E</x:t>
  </x:si>
  <x:si>
    <x:t xml:space="preserve">Q0SE23_ref</x:t>
  </x:si>
  <x:si>
    <x:t xml:space="preserve">DypB was experimentally loaded in vitro into the R. jostii RHA1 encapsulin.</x:t>
  </x:si>
  <x:si>
    <x:t xml:space="preserve">https://www.uniprot.org/uniprotkb/Q0SE23/entry</x:t>
  </x:si>
  <x:si>
    <x:t xml:space="preserve">UniProt/UniParc Q0SE23; Rahmanpour &amp; Bugg 2013</x:t>
  </x:si>
  <x:si>
    <x:t xml:space="preserve">Experimentally characterized Type 1 shell from Rhodococcus jostii RHA1 (RHA1_ro02408). Q0SE23 is obsolete in UniProtKB and retained in UniParc UPI0000DBA11E. Native shells were ~22 nm by DLS; DypB loading and pH-dependent disassembly/reassembly were reported.</x:t>
  </x:si>
  <x:si>
    <x:t xml:space="preserve">T_number;pore_data</x:t>
  </x:si>
  <x:si>
    <x:t xml:space="preserve">Q1Q6L7</x:t>
  </x:si>
  <x:si>
    <x:t xml:space="preserve">ENCAP_KUEST</x:t>
  </x:si>
  <x:si>
    <x:t xml:space="preserve">Diheme-cytochrome-encapsulin shell fusion protein</x:t>
  </x:si>
  <x:si>
    <x:t xml:space="preserve">Kuenenia stuttgartiensis</x:t>
  </x:si>
  <x:si>
    <x:t xml:space="preserve">KUST_E</x:t>
  </x:si>
  <x:si>
    <x:t xml:space="preserve">Kuenenia</x:t>
  </x:si>
  <x:si>
    <x:t xml:space="preserve">kuste2478</x:t>
  </x:si>
  <x:si>
    <x:t xml:space="preserve">SHELL_DOMAIN_FUSION: legitimate but atypical fusion protein; distinguish full-length and truncated constructs.</x:t>
  </x:si>
  <x:si>
    <x:t xml:space="preserve">Q1Q6L7_full</x:t>
  </x:si>
  <x:si>
    <x:t xml:space="preserve">NIR domain co-purified with cEnc (~30 copies per 180-mer capsid); loading decreased to ~15 copies when the N-terminal diheme cytochrome domain was removed.</x:t>
  </x:si>
  <x:si>
    <x:t xml:space="preserve">https://www.uniprot.org/uniprotkb/Q1Q6L7/entry</x:t>
  </x:si>
  <x:si>
    <x:t xml:space="preserve">UniProt Q1Q6L7; Giessen &amp; Silver 2017; Tracey et al. 2026</x:t>
  </x:si>
  <x:si>
    <x:t xml:space="preserve">Reviewed experimentally characterized Type 1 encapsulin from Kuenenia stuttgartiensis. Unusual N-terminal diheme-cytochrome–encapsulin fusion; full-length cEnc forms ~33 nm capsids and NIR-domain loading was demonstrated. A construct lacking the cytochrome domain forms ~29 nm capsids.</x:t>
  </x:si>
  <x:si>
    <x:t xml:space="preserve">pore_data</x:t>
  </x:si>
  <x:si>
    <x:t xml:space="preserve">10.1038/nmicrobiol.2017.29</x:t>
  </x:si>
  <x:si>
    <x:t xml:space="preserve">P61996</x:t>
  </x:si>
  <x:si>
    <x:t xml:space="preserve">ENCP4_PYRFU</x:t>
  </x:si>
  <x:si>
    <x:t xml:space="preserve">Putative type 4B encapsulin shell protein PF1875</x:t>
  </x:si>
  <x:si>
    <x:t xml:space="preserve">PF1875</x:t>
  </x:si>
  <x:si>
    <x:t xml:space="preserve">type_4B</x:t>
  </x:si>
  <x:si>
    <x:t xml:space="preserve">https://www.uniprot.org/uniprotkb/P61996/entry</x:t>
  </x:si>
  <x:si>
    <x:t xml:space="preserve">UniProt P61996; Menon et al. 2009</x:t>
  </x:si>
  <x:si>
    <x:t xml:space="preserve">Reviewed putative Type 4B A-domain encapsulin from Pyrococcus furiosus. The 99-aa length is characteristic of Family 4B. PF1875 co-fractionated with upstream GAPDH PF1874, but shell assembly and cargo encapsulation were not demonstrated.</x:t>
  </x:si>
  <x:si>
    <x:t xml:space="preserve">P61997</x:t>
  </x:si>
  <x:si>
    <x:t xml:space="preserve">ENCP4_PYRWO</x:t>
  </x:si>
  <x:si>
    <x:t xml:space="preserve">Putative type 4B encapsulin shell protein</x:t>
  </x:si>
  <x:si>
    <x:t xml:space="preserve">Pyrococcus woesei</x:t>
  </x:si>
  <x:si>
    <x:t xml:space="preserve">ATCC 49860 / DSM 3773 / JCM 8421 / Vul4</x:t>
  </x:si>
  <x:si>
    <x:t xml:space="preserve">https://www.uniprot.org/uniprotkb/P61997/entry</x:t>
  </x:si>
  <x:si>
    <x:t xml:space="preserve">UniProt P61997</x:t>
  </x:si>
  <x:si>
    <x:t xml:space="preserve">Reviewed putative Type 4B A-domain encapsulin from Pyrococcus woesei. The 99-aa length is characteristic of Family 4B and does not indicate a fragment. The protein is encoded downstream of GAPDH, but shell assembly and cargo encapsulation have not been demonstrated.</x:t>
  </x:si>
  <x:si>
    <x:t xml:space="preserve">assembly_id</x:t>
  </x:si>
  <x:si>
    <x:t xml:space="preserve">construct</x:t>
  </x:si>
  <x:si>
    <x:t xml:space="preserve">variant_status</x:t>
  </x:si>
  <x:si>
    <x:t xml:space="preserve">assembly_symmetry</x:t>
  </x:si>
  <x:si>
    <x:t xml:space="preserve">T_number</x:t>
  </x:si>
  <x:si>
    <x:t xml:space="preserve">T_number_basis</x:t>
  </x:si>
  <x:si>
    <x:t xml:space="preserve">shell_subunit_count</x:t>
  </x:si>
  <x:si>
    <x:t xml:space="preserve">shell_diameter_nm</x:t>
  </x:si>
  <x:si>
    <x:t xml:space="preserve">inner_diameter_nm</x:t>
  </x:si>
  <x:si>
    <x:t xml:space="preserve">wall_thickness_nm</x:t>
  </x:si>
  <x:si>
    <x:t xml:space="preserve">inner_volume_A3</x:t>
  </x:si>
  <x:si>
    <x:t xml:space="preserve">thermostability_tm_c</x:t>
  </x:si>
  <x:si>
    <x:t xml:space="preserve">condition</x:t>
  </x:si>
  <x:si>
    <x:t xml:space="preserve">method</x:t>
  </x:si>
  <x:si>
    <x:t xml:space="preserve">structure_id</x:t>
  </x:si>
  <x:si>
    <x:t xml:space="preserve">source</x:t>
  </x:si>
  <x:si>
    <x:t xml:space="preserve">notes</x:t>
  </x:si>
  <x:si>
    <x:t xml:space="preserve">source_doi</x:t>
  </x:si>
  <x:si>
    <x:t xml:space="preserve">legacy_review_note_not_for_export</x:t>
  </x:si>
  <x:si>
    <x:t xml:space="preserve">EncA</x:t>
  </x:si>
  <x:si>
    <x:t xml:space="preserve">wild_type</x:t>
  </x:si>
  <x:si>
    <x:t xml:space="preserve">icosahedral</x:t>
  </x:si>
  <x:si>
    <x:t xml:space="preserve">directly_reported</x:t>
  </x:si>
  <x:si>
    <x:t xml:space="preserve">3.09 × 106</x:t>
  </x:si>
  <x:si>
    <x:t xml:space="preserve">recombinant empty shell expressed in E.coli</x:t>
  </x:si>
  <x:si>
    <x:t xml:space="preserve">cryo-EM / structural study</x:t>
  </x:si>
  <x:si>
    <x:t xml:space="preserve">4PT2; 7S20</x:t>
  </x:si>
  <x:si>
    <x:t xml:space="preserve">McHugh et al. 2014; Eren et al. 2022; Yadav &amp; Beck 2026</x:t>
  </x:si>
  <x:si>
    <x:t xml:space="preserve">Shell diameter (32 nm) and inner diameter (26 nm) from McHugh et al. 2014 / 4PT2; inner volume (3.09 × 10^6 Å³) from Eren et al. 2022 / 7S20. Wall thickness (3 nm) calculated as (32−26)/2. T=3 represented ~94% of EncA particles purified from M. xanthus. Among recombinant empty EncA shells expressed in E. coli, T=3 represented ~80% in McHugh et al. 2014 and ~64% in Eren et al. 2022. Yadav &amp; Beck 2026 further demonstrated that WT EncA T=3 formation during reassembly is strongly condition-dependent: Tris at low ionic strength favors T=3, whereas increasing ionic strength can shift assembly toward T=1 or unassembled species. Once formed, T=3 shells are kinetically trapped and do not interconvert with T=1 upon buffer exchange.</x:t>
  </x:si>
  <x:si>
    <x:t xml:space="preserve">10.15252/embj.201488566; 10.1016/j.str.2022.01.008; 10.1002/pro.70756</x:t>
  </x:si>
  <x:si>
    <x:t xml:space="preserve">Q1D6H4_T1</x:t>
  </x:si>
  <x:si>
    <x:t xml:space="preserve">8.71 × 105</x:t>
  </x:si>
  <x:si>
    <x:t xml:space="preserve">recombinant empty shell expressed in E. coli</x:t>
  </x:si>
  <x:si>
    <x:t xml:space="preserve">cryo-EM/structural study</x:t>
  </x:si>
  <x:si>
    <x:t xml:space="preserve">7S21</x:t>
  </x:si>
  <x:si>
    <x:t xml:space="preserve">McHugh et al. 2014;Eren et al. 2022; Yadav &amp; Beck 
2026</x:t>
  </x:si>
  <x:si>
    <x:t xml:space="preserve">Shell diameter (~18 nm) and inner volume (8.71 × 10^5 Å³) from Eren et al. 2022 / 7S21. T=1 represented ~6% of EncA particles purified from M. xanthus. Among recombinant empty EncA shells expressed in E. coli, T=1 represented ~20% in McHugh et al. 2014 and ~36% in Eren et al. 2022. Recombinant T=1 shells were observed only in the absence of co-expressed cargo in Eren et al. 2022. No inner diameter or wall thickness was directly reported for the T=1 shell. Assuming a spherical cavity, a spherical-equivalent inner diameter of ~11.9 nm can be estimated from the reported inner volume (8.71 × 10^5 Å³), corresponding to an approximate wall thickness of ~3.1 nm using the ~18 nm outer diameter. Yadav &amp; Beck 2026 demonstrated that WT EncA T=1 formation during reassembly is strongly promoted by phosphate buffer and by conditions that disfavor the competing T=3 pathway. Once formed, T=1 shells are kinetically trapped and do not interconvert with T=3 upon buffer exchange.</x:t>
  </x:si>
  <x:si>
    <x:t xml:space="preserve">10.15252/embj.201488566; 10.1016/j.str.2022.01.008</x:t>
  </x:si>
  <x:si>
    <x:t xml:space="preserve">Q1D6H4_T3_loaded</x:t>
  </x:si>
  <x:si>
    <x:t xml:space="preserve">recombinant SNAP-tag-TP-loaded shell expressed
 in E. coli</x:t>
  </x:si>
  <x:si>
    <x:t xml:space="preserve">8TK7</x:t>
  </x:si>
  <x:si>
    <x:t xml:space="preserve">Kwon et al. 2023</x:t>
  </x:si>
  <x:si>
    <x:t xml:space="preserve">Highly cargo-loaded WT T=3 shell. SNAP-tag-TP occupancy was ~95%, corresponding to &gt;170 occupied TP-binding sites
 out of 180. High cargo loading was also associated with distorted, expanded and fused shell particles.</x:t>
  </x:si>
  <x:si>
    <x:t xml:space="preserve">10.1016/j.jsb.2023.108022</x:t>
  </x:si>
  <x:si>
    <x:t xml:space="preserve">Q1D6H4_3xHis_T1</x:t>
  </x:si>
  <x:si>
    <x:t xml:space="preserve">3×His-MxEnc (K199H/T200H/G201H)</x:t>
  </x:si>
  <x:si>
    <x:t xml:space="preserve">engineered</x:t>
  </x:si>
  <x:si>
    <x:t xml:space="preserve">~24</x:t>
  </x:si>
  <x:si>
    <x:t xml:space="preserve">1.944 × 106</x:t>
  </x:si>
  <x:si>
    <x:t xml:space="preserve">recombinant cargo-free mutant shell expressed in E. coli</x:t>
  </x:si>
  <x:si>
    <x:t xml:space="preserve">cryo-EM / negative-stain TEM</x:t>
  </x:si>
  <x:si>
    <x:t xml:space="preserve">8V4N</x:t>
  </x:si>
  <x:si>
    <x:t xml:space="preserve">Szyszka et al. 2024</x:t>
  </x:si>
  <x:si>
    <x:t xml:space="preserve">Triple pore-lining point mutant. Forms a dimorphic population containing T=1 60-mer and tetrahedral 36-mer assemblies. Shell diameter (~24 nm) was determined by negative-stain TEM.</x:t>
  </x:si>
  <x:si>
    <x:t xml:space="preserve">10.1073/pnas.2321260121</x:t>
  </x:si>
  <x:si>
    <x:t xml:space="preserve">Q1D6H4_3xHis_Tet</x:t>
  </x:si>
  <x:si>
    <x:t xml:space="preserve">tetrahedral</x:t>
  </x:si>
  <x:si>
    <x:t xml:space="preserve">not_applicable</x:t>
  </x:si>
  <x:si>
    <x:t xml:space="preserve">3.0004 × 105</x:t>
  </x:si>
  <x:si>
    <x:t xml:space="preserve">recombinant cargo-free mutant shell expressed in 
E. coli</x:t>
  </x:si>
  <x:si>
    <x:t xml:space="preserve">8V4Q</x:t>
  </x:si>
  <x:si>
    <x:t xml:space="preserve">36-mer assembly with tetrahedral symmetry rather than icosahedral symmetry; therefore T-number is not applicable. 
Coexists with the T=1 60-mer 3×His assembly.</x:t>
  </x:si>
  <x:si>
    <x:t xml:space="preserve">Q1D6H4_pmut_T1</x:t>
  </x:si>
  <x:si>
    <x:t xml:space="preserve">Mx_pmut (ΔI195–L202 + GG)</x:t>
  </x:si>
  <x:si>
    <x:t xml:space="preserve">~20</x:t>
  </x:si>
  <x:si>
    <x:t xml:space="preserve">recombinant cargo-free pore-engineered shell expressed in E. coli</x:t>
  </x:si>
  <x:si>
    <x:t xml:space="preserve">9B9I</x:t>
  </x:si>
  <x:si>
    <x:t xml:space="preserve">Kwon et al. 2024</x:t>
  </x:si>
  <x:si>
    <x:t xml:space="preserve">Pore-engineered EncA lacking the I195–L202 pore loop, with two Gly residues introduced to form the shortened loop. Without cargo co-expression, Mx_pmut exclusively formed ~20 nm T=1 shells.</x:t>
  </x:si>
  <x:si>
    <x:t xml:space="preserve">10.1021/acsnano.4c08186</x:t>
  </x:si>
  <x:si>
    <x:t xml:space="preserve">Q1D6H4_pmut_T3</x:t>
  </x:si>
  <x:si>
    <x:t xml:space="preserve">recombinant SNAP-tag-TP-loaded pore-engineered shell expressed in E. coli</x:t>
  </x:si>
  <x:si>
    <x:t xml:space="preserve">9B9Q</x:t>
  </x:si>
  <x:si>
    <x:t xml:space="preserve">Cargo-loaded Mx_pmut formed T=3 and T=4 shells. T=3 represented ~75% of the sample. Cargo loading was ~97%, with approximately 180 cargo copies per T=3 shell.</x:t>
  </x:si>
  <x:si>
    <x:t xml:space="preserve">Q1D6H4_pmut_T4</x:t>
  </x:si>
  <x:si>
    <x:t xml:space="preserve">9BC8</x:t>
  </x:si>
  <x:si>
    <x:t xml:space="preserve">Cargo-loaded Mx_pmut formed T=3 and T=4 shells. T=4 represented ~25% of the sample. Cargo loading was ~97%, with approximately 240 cargo copies per T=4 shell.</x:t>
  </x:si>
  <x:si>
    <x:t xml:space="preserve">Q9WZP2_ref</x:t>
  </x:si>
  <x:si>
    <x:t xml:space="preserve">Enc</x:t>
  </x:si>
  <x:si>
    <x:t xml:space="preserve">2-2.5</x:t>
  </x:si>
  <x:si>
    <x:t xml:space="preserve">native shell purified from T. maritima with native FLP C-terminal targeting peptide bound (3DKT); recombinant WT shell coexpressed with native FLP cargo in E. coli (7MU1)</x:t>
  </x:si>
  <x:si>
    <x:t xml:space="preserve">X-ray crystallography / structural 
study</x:t>
  </x:si>
  <x:si>
    <x:t xml:space="preserve">3DKT; 7MU1</x:t>
  </x:si>
  <x:si>
    <x:t xml:space="preserve">Sutter et al. 2008; LaFrance et al. 2021</x:t>
  </x:si>
  <x:si>
    <x:t xml:space="preserve">Canonical WT T=1 assembly. Sutter et al. 2008 directly reported 60 shell subunits, T=1 icosahedral symmetry, a 23-24 nm 
shell diameter, and a 2-2.5 nm shell thickness. PDB 3DKT contains the native 8-residue C-terminal targeting peptide of FLP (Q9WZP3) bound to the shell; full FLP cargo was not resolved in that structure. LaFrance et al. 2021 later used cryo-EM to characterize recombinant FLP-loaded TmEnc and demonstrated symmetry-matched association of FLP decamers with shell fivefold axes; PDB 7MU1 represents the corresponding WT shell structure.</x:t>
  </x:si>
  <x:si>
    <x:t xml:space="preserve">10.1038/nsmb.1473; 10.1038/s41598-021-01932-w</x:t>
  </x:si>
  <x:si>
    <x:t xml:space="preserve">Q9WZP2_T1_empty</x:t>
  </x:si>
  <x:si>
    <x:t xml:space="preserve">inferred_from_subunit_count</x:t>
  </x:si>
  <x:si>
    <x:t xml:space="preserve">recombinant cargo-free WT shell expressed in 
E. coli</x:t>
  </x:si>
  <x:si>
    <x:t xml:space="preserve">cryo-EM</x:t>
  </x:si>
  <x:si>
    <x:t xml:space="preserve">7KQ5;9Y8P</x:t>
  </x:si>
  <x:si>
    <x:t xml:space="preserve">Wiryaman &amp; Toor 2021; Torres et al., PDB 9Y8P, to 
be published</x:t>
  </x:si>
  <x:si>
    <x:t xml:space="preserve">Recombinant WT cargo-free shell. 7KQ5 is the high-resolution flavin-bound WT shell. 9Y8P is a later WT shell reconstruction and does not represent a distinct geometry, so both PDBs are grouped in this assembly. Nakamura et al. 2026 further showed that recombinant TmEnc can undergo acid-induced disassembly followed by reassembly upon return to neutral pH, supporting the reversible assembly behavior of the T=1 scaffold; this study used a C-terminally His-tagged construct rather than the exact WT constructs represented by 7KQ5/9Y8P.</x:t>
  </x:si>
  <x:si>
    <x:t xml:space="preserve">10.1107/S2052252521001949</x:t>
  </x:si>
  <x:si>
    <x:t xml:space="preserve">Q9WZP2_S1K_T1</x:t>
  </x:si>
  <x:si>
    <x:t xml:space="preserve">S1K pore variant</x:t>
  </x:si>
  <x:si>
    <x:t xml:space="preserve">cryo-EM; negative-stain TEM; biophysical characterization</x:t>
  </x:si>
  <x:si>
    <x:t xml:space="preserve">7LIJ</x:t>
  </x:si>
  <x:si>
    <x:t xml:space="preserve">Adamson et al. 2022</x:t>
  </x:si>
  <x:si>
    <x:t xml:space="preserve">Engineered pore point mutant. Intact T=1 shell retained. Fivefold pore diameter ~4.0 Å was calculated from the cryo-EM structure, not directly measured. Shell diameter of 24 nm observed by negative-stain TEM.</x:t>
  </x:si>
  <x:si>
    <x:t xml:space="preserve">10.1126/sciadv.abl7346</x:t>
  </x:si>
  <x:si>
    <x:t xml:space="preserve">Q9WZP2_S1R_T1</x:t>
  </x:si>
  <x:si>
    <x:t xml:space="preserve">S1R pore variant</x:t>
  </x:si>
  <x:si>
    <x:t xml:space="preserve">7LIK</x:t>
  </x:si>
  <x:si>
    <x:t xml:space="preserve">Engineered pore point mutant. Intact T=1 shell retained. Fivefold pore diameter ~3.5 Å was calculated from the cryo-EM structure, not directly measured. Shell diameter of 24 nm observed by negative-stain TEM.</x:t>
  </x:si>
  <x:si>
    <x:t xml:space="preserve">Q9WZP2_S3E_T1</x:t>
  </x:si>
  <x:si>
    <x:t xml:space="preserve">S3E pore variant</x:t>
  </x:si>
  <x:si>
    <x:t xml:space="preserve">7LIL</x:t>
  </x:si>
  <x:si>
    <x:t xml:space="preserve">Engineered negatively charged pore variant. Intact T=1 shell retained. Fivefold pore diameter ~5.5 Å was calculated from the cryo-EM structure, not directly measured. Shell diameter of 24 nm observed by negative-stain TEM.</x:t>
  </x:si>
  <x:si>
    <x:t xml:space="preserve">Q9WZP2_S5D_T1</x:t>
  </x:si>
  <x:si>
    <x:t xml:space="preserve">S5D pore variant</x:t>
  </x:si>
  <x:si>
    <x:t xml:space="preserve">7LIS</x:t>
  </x:si>
  <x:si>
    <x:t xml:space="preserve">Engineered pore-loop deletion variant. Intact T=1 shell retained. Fivefold pore diameter ~10.7 Å was calculated from the cryo-EM structure, not directly measured. Shell diameter of 24 nm observed by negative-stain TEM.</x:t>
  </x:si>
  <x:si>
    <x:t xml:space="preserve">Q9WZP2_S6E_T1</x:t>
  </x:si>
  <x:si>
    <x:t xml:space="preserve">S6E pore variant</x:t>
  </x:si>
  <x:si>
    <x:t xml:space="preserve">7LIM</x:t>
  </x:si>
  <x:si>
    <x:t xml:space="preserve">Engineered pore-loop deletion variant. Intact T=1 shell retained. Fivefold pore diameter ~6.7 Å was calculated from the cryo-EM structure, not directly measured. Shell diameter of 24 nm observed by negative-stain TEM.</x:t>
  </x:si>
  <x:si>
    <x:t xml:space="preserve">Q9WZP2_S7D_T1</x:t>
  </x:si>
  <x:si>
    <x:t xml:space="preserve">S7D pore variant</x:t>
  </x:si>
  <x:si>
    <x:t xml:space="preserve">7LII</x:t>
  </x:si>
  <x:si>
    <x:t xml:space="preserve">Engineered pore-loop deletion variant. Intact T=1 shell retained. Fivefold pore diameter ~10.1 Å was calculated from the cryo-EM structure, not directly measured. Shell diameter of 24 nm observed by negative-stain TEM.</x:t>
  </x:si>
  <x:si>
    <x:t xml:space="preserve">Q9WZP2_S7G_T1</x:t>
  </x:si>
  <x:si>
    <x:t xml:space="preserve">S7G pore-loop deletion variant</x:t>
  </x:si>
  <x:si>
    <x:t xml:space="preserve">6WKV;7LIT</x:t>
  </x:si>
  <x:si>
    <x:t xml:space="preserve">Williams et al. 2018; Adamson et al. 2022</x:t>
  </x:si>
  <x:si>
    <x:t xml:space="preserve">Complete pore-loop deletion/enlarged-pore variant. 6WKV and 7LIT represent the same S7G design and are therefore grouped. Williams et al. estimated an ~11 Å pore; Adamson et al. later calculated ~11.3 Å from the higher-resolution structure. Shell diameter of 24 nm observed by negative-stain TEM.</x:t>
  </x:si>
  <x:si>
    <x:t xml:space="preserve">10.1021/acssynbio.8b00295; 10.1126/sciadv.abl7346</x:t>
  </x:si>
  <x:si>
    <x:t xml:space="preserve">recombinant WT shell expressed in E. coli; 7P1T obtained from low-pH disassembly followed by neutral-pH reassembly; 8IKA is an independently determined WT shell</x:t>
  </x:si>
  <x:si>
    <x:t xml:space="preserve">7P1T;8IKA</x:t>
  </x:si>
  <x:si>
    <x:t xml:space="preserve">Berger et al. 2025; PDB 8IKA (Du et al., to be published)</x:t>
  </x:si>
  <x:si>
    <x:t xml:space="preserve">Canonical full WT T=1 shell. Berger et al. 2025 directly reported a 60-subunit T=1 icosahedron with an outer diameter of 23 nm and inner diameter of 19 nm along the fivefold axis. 7P1T was obtained from a sample subjected to pH 3 disassembly followed by neutral-pH reassembly and recovered the canonical full-shell architecture. 8IKA is an independent WT, unmutated icosahedral homo-60-mer and is grouped here because it represents the same assembly state. Wall thickness is left blank rather than calculated from outer and inner diameters. A spherical/radial wall thickness of ~2.0 nm can be calculated from the directly reported 23 nm outer and 19 nm inner diameters; this value is not directly reported.</x:t>
  </x:si>
  <x:si>
    <x:t xml:space="preserve">10.1038/s42003-025-07660-5</x:t>
  </x:si>
  <x:si>
    <x:t xml:space="preserve">I6WZG6_His_T1_empty</x:t>
  </x:si>
  <x:si>
    <x:t xml:space="preserve">C-terminal His-tagged Enc</x:t>
  </x:si>
  <x:si>
    <x:t xml:space="preserve">2.5</x:t>
  </x:si>
  <x:si>
    <x:t xml:space="preserve">recombinant cargo-free C-terminal His-tagged 
Mt-Enc expressed in E. coli</x:t>
  </x:si>
  <x:si>
    <x:t xml:space="preserve">EM</x:t>
  </x:si>
  <x:si>
    <x:t xml:space="preserve">Contreras et al. 2014</x:t>
  </x:si>
  <x:si>
    <x:t xml:space="preserve">Recombinant C-terminally His-tagged Mt-Enc formed shell-like nanoparticles approximately 22 nm in diameter with an 
approximately 2.5 nm shell thickness, both measured from EM images using ImageJ by Contreras et al. 2014. Based on the similarity to the known T. maritima 60-subunit icosahedral encapsulin, the authors proposed that Mt-Enc also forms a 60-subunit icosahedral shell. T=1 is therefore inferred from the proposed icosahedral 60-mer architecture rather than directly reported for this construct.</x:t>
  </x:si>
  <x:si>
    <x:t xml:space="preserve">10.1074/jbc.M114.570119</x:t>
  </x:si>
  <x:si>
    <x:t xml:space="preserve">I6WZG6_T1_DyP_loaded</x:t>
  </x:si>
  <x:si>
    <x:t xml:space="preserve">native M. tuberculosis H37Rv nanocompartments and recombinant WT Enc-DyP system expressed in E. coli; DyP-containing</x:t>
  </x:si>
  <x:si>
    <x:t xml:space="preserve">TEM; mass spectrometry; cryo-EM; X-ray crystallography</x:t>
  </x:si>
  <x:si>
    <x:t xml:space="preserve">8PYS; 9BKX</x:t>
  </x:si>
  <x:si>
    <x:t xml:space="preserve">Lien et al. 2021; PDB 8PYS (Willmore &amp; Woodward, 
to be published); Cuthbert et al. 2024</x:t>
  </x:si>
  <x:si>
    <x:t xml:space="preserve">Biologically relevant native DyP-loaded state. DyP-containing nanocompartments were experimentally demonstrated after recombinant expression of the native Enc-DyP system and in M. tuberculosis H37Rv by Lien et al. 2021; native purified particles contained Enc and DyP by mass spectrometry and were approximately 25 nm by TEM. 8PYS provides a 2.7 Å cryo-EM structure of the 60-subunit icosahedral shell prepared in a DyP-loaded context, although DyP was not resolved in the deposited shell model. 9BKX provides a 3.15 Å X-ray structure of the recombinant Mtb Enc-DyP complex with a 60-subunit shell; the compact DyP domain was not resolved, while DyP targeting-peptide density was observed on the shell interior. T=1 is assigned from the experimentally established 60-subunit icosahedral architecture. The 25 nm shell diameter is retained from the Lien et al. 2021 TEM state; 9BKX reports an approximately 24 nm shell. Tagged/recombinant structural constructs are treated as supporting structures of the same biological assembly rather than separate assemblies.</x:t>
  </x:si>
  <x:si>
    <x:t xml:space="preserve">10.7554/eLife.74358; 10.3390/microorganisms12122465</x:t>
  </x:si>
  <x:si>
    <x:t xml:space="preserve">I6WZG6_partial_48mer</x:t>
  </x:si>
  <x:si>
    <x:t xml:space="preserve">partial_icosahedral</x:t>
  </x:si>
  <x:si>
    <x:t xml:space="preserve">recombinant WT shell expressed in E. coli; pH 3 disassembly followed by neutral-pH reassembly; stable incomplete assembly intermediate</x:t>
  </x:si>
  <x:si>
    <x:t xml:space="preserve">9GOT</x:t>
  </x:si>
  <x:si>
    <x:t xml:space="preserve">Berger et al. 2025</x:t>
  </x:si>
  <x:si>
    <x:t xml:space="preserve">Stable incomplete WT shell assembly intermediate containing 48 Enc monomers. The particle retains an overall icosahedral-like geometry but has a single large opening caused by missing subunits on one side. Obtained after low-pH disassembly followed by neutral-pH reassembly.</x:t>
  </x:si>
  <x:si>
    <x:t xml:space="preserve">I6WZG6_partial_52mer</x:t>
  </x:si>
  <x:si>
    <x:t xml:space="preserve">9HQ7</x:t>
  </x:si>
  <x:si>
    <x:t xml:space="preserve">Stable incomplete WT shell assembly intermediate containing 52 Enc monomers. Retains an overall icosahedral-like geometry with a single opening. Relative to the 48-mer, two additional Enc dimers are incorporated around a threefold region.</x:t>
  </x:si>
  <x:si>
    <x:t xml:space="preserve">I6WZG6_partial_54mer</x:t>
  </x:si>
  <x:si>
    <x:t xml:space="preserve">9HQC</x:t>
  </x:si>
  <x:si>
    <x:t xml:space="preserve">Stable incomplete WT shell assembly intermediate containing 54 Enc monomers. The particle has a single opening and retains an overall icosahedral-like organization, but is measurably distorted, appearing flattened in one direction and elongated in the perpendicular direction.</x:t>
  </x:si>
  <x:si>
    <x:t xml:space="preserve">A0A0F5HPP7_ref</x:t>
  </x:si>
  <x:si>
    <x:t xml:space="preserve">88.9</x:t>
  </x:si>
  <x:si>
    <x:t xml:space="preserve">recombinant WT IMEF cargo-loaded compartment expressed in E. coli</x:t>
  </x:si>
  <x:si>
    <x:t xml:space="preserve">cryo-EM; thermal unfolding</x:t>
  </x:si>
  <x:si>
    <x:t xml:space="preserve">6NJ8</x:t>
  </x:si>
  <x:si>
    <x:t xml:space="preserve">Giessen et al. 2019</x:t>
  </x:si>
  <x:si>
    <x:t xml:space="preserve">Canonical WT cargo-loaded T=4 assembly. Giessen et al. 2019 directly reported a 240-subunit T=4 icosahedral shell approximately 42 nm in diameter and 9.6 MDa in mass. PDB 6NJ8 / EMD-9383 represents the IMEF cargo-loaded compartment; targeting-peptide density is modeled in the atomic shell structure while the full IMEF cargo is less ordered. The cargo-loaded compartment has a reported melting temperature of 88.9 °C. Compartments isolated under high-iron conditions reached 91.8 °C, but this represents increased stabilization by internal mineralized material rather than a distinct shell assembly.</x:t>
  </x:si>
  <x:si>
    <x:t xml:space="preserve">A0A0F5HPP7_T4_empty</x:t>
  </x:si>
  <x:si>
    <x:t xml:space="preserve">86.6</x:t>
  </x:si>
  <x:si>
    <x:t xml:space="preserve">recombinant cargo-free WT shell expressed in E. coli</x:t>
  </x:si>
  <x:si>
    <x:t xml:space="preserve">Sigmund et al. 2019; Giessen et al. 2019</x:t>
  </x:si>
  <x:si>
    <x:t xml:space="preserve">Recombinant cargo-free WT QtEnc shell. Sigmund et al. 2019 directly reported T=4 icosahedral symmetry and an approximately 43 nm shell diameter; the corresponding E. coli-derived cryo-EM map EMD-4879 was reconstructed at 3.4 Å. The empty shell has a reported melting temperature of 86.6 °C. No separate PDB atomic model is assigned to this empty-state map.</x:t>
  </x:si>
  <x:si>
    <x:t xml:space="preserve">10.1021/acsnano.9b03140; 10.7554/eLife.46070</x:t>
  </x:si>
  <x:si>
    <x:t xml:space="preserve">A0A0F5HPP7_T4_Fdx_loaded</x:t>
  </x:si>
  <x:si>
    <x:t xml:space="preserve">recombinant preassembled WT shell loaded in vitro with native Fdx cargo</x:t>
  </x:si>
  <x:si>
    <x:t xml:space="preserve">11YX</x:t>
  </x:si>
  <x:si>
    <x:t xml:space="preserve">Kwon et al. 2026</x:t>
  </x:si>
  <x:si>
    <x:t xml:space="preserve">Native Fdx cargo-loaded WT QtEnc state generated by post-assembly in vitro loading. Cryo-EM at 2.47 Å showed intact properly assembled shells and directly resolved the interaction between the Fdx N-terminal cargo-loading peptide and internal shell binding sites. PDB 11YX / EMD-76203. Fdx is the native minor 2Fe-2S ferredoxin cargo encoded in the QtEnc operon; this structure represents the first visualization of an N-terminal CLP-shell interaction.</x:t>
  </x:si>
  <x:si>
    <x:t xml:space="preserve">10.1038/s41467-026-76849-x</x:t>
  </x:si>
  <x:si>
    <x:t xml:space="preserve">A0A0F5HPP7_T4GALA_T4</x:t>
  </x:si>
  <x:si>
    <x:t xml:space="preserve">T4GALA E-loop insertion variant</x:t>
  </x:si>
  <x:si>
    <x:t xml:space="preserve">recombinant cargo-free T4GALA engineered shell expressed in E. coli; trigger-responsive disassembly/reassembly</x:t>
  </x:si>
  <x:si>
    <x:t xml:space="preserve">cryo-EM; TEM; DLS</x:t>
  </x:si>
  <x:si>
    <x:t xml:space="preserve">7MH2</x:t>
  </x:si>
  <x:si>
    <x:t xml:space="preserve">Jones et al. 2021</x:t>
  </x:si>
  <x:si>
    <x:t xml:space="preserve">Engineered E-loop insertion variant designed for triggered reversible disassembly. T4GALA retains the global T=4 240-mer architecture and is approximately 42 nm in diameter, nearly identical to WT QtEnc, but cryo-EM shows substantial loss of ordered density around the engineered E-loop/GALA insertion site, consistent with increased local structural dynamics. PDB 7MH2 / EMD-23834.</x:t>
  </x:si>
  <x:si>
    <x:t xml:space="preserve">10.1002/anie.202110318</x:t>
  </x:si>
  <x:si>
    <x:t xml:space="preserve">A0A0F5HPP7_Glass9_T4</x:t>
  </x:si>
  <x:si>
    <x:t xml:space="preserve">Glass9 (9-residue deletion)</x:t>
  </x:si>
  <x:si>
    <x:t xml:space="preserve">recombinant homomeric Glass9 pore-deletion variant expressed and purified from E. coli</x:t>
  </x:si>
  <x:si>
    <x:t xml:space="preserve">cryo-EM; SEC</x:t>
  </x:si>
  <x:si>
    <x:t xml:space="preserve">9ZVV</x:t>
  </x:si>
  <x:si>
    <x:t xml:space="preserve">Siddiquee et al. 2026 (bioRxiv preprint)</x:t>
  </x:si>
  <x:si>
    <x:t xml:space="preserve">Directed-evolution-derived homomeric pore-deletion variant with a 9-residue deletion. Glass9 retains the canonical T=4 240-mer architecture but exhibits substantially enlarged pores: approximately 21 Å at pentameric vertices and elongated approximately 12 × 35 Å openings at hexameric vertices. Cryo-EM structure PDB 9ZVV / EMD-74892 was determined at 2.40 Å.</x:t>
  </x:si>
  <x:si>
    <x:t xml:space="preserve">10.64898/2026.01.12.698938</x:t>
  </x:si>
  <x:si>
    <x:t xml:space="preserve">A0A0F5HPP7_Letter11_T4</x:t>
  </x:si>
  <x:si>
    <x:t xml:space="preserve">Letter11 (11-residue deletion)</x:t>
  </x:si>
  <x:si>
    <x:t xml:space="preserve">recombinant homomeric Letter11 pore-deletion variant expressed and purified from E. coli; T=4 fraction of dimorphic population</x:t>
  </x:si>
  <x:si>
    <x:t xml:space="preserve">9ZW3</x:t>
  </x:si>
  <x:si>
    <x:t xml:space="preserve">Directed-evolution-derived 11-residue deletion variant. Letter11 forms a dimorphic homomeric population containing approximately 70% T=4 particles and approximately 30% T=3 particles. This row represents the T=4 fraction. PDB 9ZW3 / EMD-74904 was determined at 2.40 Å.</x:t>
  </x:si>
  <x:si>
    <x:t xml:space="preserve">A0A0F5HPP7_Letter11_T3</x:t>
  </x:si>
  <x:si>
    <x:t xml:space="preserve">recombinant homomeric Letter11 pore-deletion variant expressed and purified from E. coli; T=3 fraction of dimorphic population</x:t>
  </x:si>
  <x:si>
    <x:t xml:space="preserve">9ZW4</x:t>
  </x:si>
  <x:si>
    <x:t xml:space="preserve">Directed-evolution-derived 11-residue deletion variant. Letter11 forms a dimorphic homomeric population containing approximately 70% T=4 particles and approximately 30% T=3 particles. This row represents the 180-subunit T=3 fraction and constitutes the first reported access to a latent T=3 architecture for QtEnc. PDB 9ZW4 / EMD-74905 was determined at 2.42 Å.</x:t>
  </x:si>
  <x:si>
    <x:t xml:space="preserve">D0LZ74_ref</x:t>
  </x:si>
  <x:si>
    <x:t xml:space="preserve">recombinant WT shell coexpressed with native EncFtn cargo in E. coli; EncFtn-loaded</x:t>
  </x:si>
  <x:si>
    <x:t xml:space="preserve">cryo-EM; negative-stain TEM</x:t>
  </x:si>
  <x:si>
    <x:t xml:space="preserve">7ODW</x:t>
  </x:si>
  <x:si>
    <x:t xml:space="preserve">Ross et al. 2022</x:t>
  </x:si>
  <x:si>
    <x:t xml:space="preserve">Canonical WT native-cargo-loaded T=1 assembly. Loaded-Enc formed regular nanocompartments approximately 21 nm in diameter. Cryo-EM directly resolved a T=1 icosahedral shell composed of 60 Enc subunits. Asymmetric reconstruction revealed four EncFtn decamers arranged tetrahedrally inside the shell, producing a symmetry mismatch with the icosahedral cage. PDB 7OE2 and 7OEU represent closed and open fivefold-pore pentamer conformations derived from symmetry expansion of this same Loaded-Enc assembly and are therefore handled in pore_records rather than as separate assemblies.</x:t>
  </x:si>
  <x:si>
    <x:t xml:space="preserve">D0LZ74_T1_empty</x:t>
  </x:si>
  <x:si>
    <x:t xml:space="preserve">other_supported_inference</x:t>
  </x:si>
  <x:si>
    <x:t xml:space="preserve">negative-stain TEM</x:t>
  </x:si>
  <x:si>
    <x:t xml:space="preserve">Recombinant cargo-free WT Empty-Enc formed homogeneous regular nanocompartments with an average diameter of approximately 21 nm, indistinguishable in overall size from the EncFtn-loaded particles. No separate high-resolution cryo-EM/PDB structure was reported for the empty sample. The T=1, 60-subunit icosahedral assignment is inherited from the structurally resolved WT Loaded-Enc shell and the matching shell morphology; it was not independently established by subunit counting in the Empty-Enc TEM sample.</x:t>
  </x:si>
  <x:si>
    <x:t xml:space="preserve">Q55032_ref</x:t>
  </x:si>
  <x:si>
    <x:t xml:space="preserve">SrpI shell</x:t>
  </x:si>
  <x:si>
    <x:t xml:space="preserve">recombinant WT SrpI shell and cognate full-length CyD expressed separately in E. coli; SrpI denatured in 6 M GuHCl and refolded in vitro in the presence of CyD; CyD-loaded (holo)</x:t>
  </x:si>
  <x:si>
    <x:t xml:space="preserve">6X8M</x:t>
  </x:si>
  <x:si>
    <x:t xml:space="preserve">Nichols/LaFrance et al. 2021</x:t>
  </x:si>
  <x:si>
    <x:t xml:space="preserve">Canonical WT CyD-loaded T=1 SrpI assembly. Nichols/LaFrance et al. 2021 directly reported the SrpI nanocompartment as a 24.5 nm T=1 icosahedral capsid formed by 60 SrpI subunits. Holo-SrpI was generated by denaturing recombinant SrpI in 6 M GuHCl and refolding it in vitro in the presence of separately purified cognate full-length CyD. Negative-stain TEM showed internal cargo density corresponding to approximately 1–2 CyD copies, and focused classification of the holo cryo-EM map detected weak cargo-associated density near a threefold axis; most CyD was not resolved in the atomic model because of low occupancy and/or flexibility. PDB 6X8M / EMD-22094 represents the holo shell. Native sulfate-starved S. elongatus lysates contained a high-molecular-weight complex enriched in SrpI and CyD by LC-MS, supporting the biological relevance of the cargo-loaded state. The C-terminal expression tag present in the structural construct is not treated as a separate assembly.</x:t>
  </x:si>
  <x:si>
    <x:t xml:space="preserve">Q55032_T1_empty</x:t>
  </x:si>
  <x:si>
    <x:t xml:space="preserve">recombinant cargo-free WT SrpI shell expressed in E. coli; denatured in 6 M GuHCl and refolded in vitro in the absence of CyD; apo/empty</x:t>
  </x:si>
  <x:si>
    <x:t xml:space="preserve">6X8T</x:t>
  </x:si>
  <x:si>
    <x:t xml:space="preserve">Experimentally prepared cargo-free apo-SrpI assembly. PDB 6X8T / EMD-22095 represents the cargo-free apo-SrpI shell and is an icosahedral homo-60-mer. T=1 is inferred from the experimentally established 60-subunit icosahedral architecture; the paper directly reports T=1 for SrpI but does not separately state the apo-state T-number. Negative-stain TEM showed no internal cargo density, and the apo shell density was reported to be indistinguishable from the holo shell. No separate apo shell diameter was explicitly reported, so shell_diameter_nm is left blank rather than inheriting the 24.5 nm value from the holo structure. The C-terminal expression tag present in the structural construct is not treated as a separate assembly.</x:t>
  </x:si>
  <x:si>
    <x:t xml:space="preserve">full-length ferritin-like–encapsulin fusion protein</x:t>
  </x:si>
  <x:si>
    <x:t xml:space="preserve">native WT full-length fusion particles purified from 
P. furiosus DSM 3638; endogenous spherical particles (PfSP/PfV); ferritin-like N-terminal domain covalently fused to each shell subunit</x:t>
  </x:si>
  <x:si>
    <x:t xml:space="preserve">negative-stain EM; X-ray 
crystallography; VUVCD spectroscopy</x:t>
  </x:si>
  <x:si>
    <x:t xml:space="preserve">2E0Z</x:t>
  </x:si>
  <x:si>
    <x:t xml:space="preserve">Namba et al. 2005; Akita et al. 2007; 
Kumamoto et al. 2024</x:t>
  </x:si>
  <x:si>
    <x:t xml:space="preserve">Canonical WT T=3 assembly of the naturally occurring full-length ferritin-like–encapsulin fusion protein from Pyrococcus 
furiosus. Namba et al. 2005 reported endogenous spherical particles approximately 30 nm in diameter and showed that recombinant full-length protein expressed in E. coli forms morphologically similar particles. Akita et al. 2007 subsequently determined PDB 2E0Z and directly reported an icosahedral T=3 capsid composed of 180 subunits. The N-terminal ferritin-like domain (approximately residues 1–109) is covalently fused to each encapsulin shell subunit and is therefore part of the native WT protein architecture rather than a separately loaded cargo; this internal domain was not resolved in 2E0Z, consistent with conformational mobility within the shell. PDB 5N5E represents only an isolated N-terminal ferritin-like domain construct forming a D5 decamer and is not treated as a distinct encapsulin assembly. Kumamoto et al. 2024 experimentally characterized recombinant full-length Pf-enc expressed in E. coli, denatured and refolded in vitro; negative-stain TEM showed spherical particles measuring 39 ± 2 nm, which the authors considered similar to the previously reported T=3 particles. This condition-specific recombinant measurement is retained here as supporting information and does not replace the approximately 30 nm diameter reported for the canonical native particles. VUVCD analysis further indicated that the N-terminal ferritin-like domain adopts a substantially different secondary structure within full-length Pf-enc than when studied as the isolated truncated domain, supporting the interpretation that the 5N5E decamer may reflect truncation-dependent oligomerization rather than the organization of the domain inside the intact T=3 cage. No alternative T-number, symmetry, stable assembly intermediate, expanded/contracted shell architecture, or structurally distinct engineered shell has been experimentally demonstrated for Q8U1L4. Planar shell walls were reported to be approximately 33 Å thick.</x:t>
  </x:si>
  <x:si>
    <x:t xml:space="preserve">10.1093/jb/mvi111; 10.1016/j.jmb.2007.02.075; 10.1002/chir.23700</x:t>
  </x:si>
  <x:si>
    <x:t xml:space="preserve">B. linens encapsulin</x:t>
  </x:si>
  <x:si>
    <x:t xml:space="preserve">2.8-3.0</x:t>
  </x:si>
  <x:si>
    <x:t xml:space="preserve">~2.6 × 106</x:t>
  </x:si>
  <x:si>
    <x:t xml:space="preserve">recombinant cargo-free WT B. linens encapsulin expressed in E. coli; nonloaded/apo (nl-E)</x:t>
  </x:si>
  <x:si>
    <x:t xml:space="preserve">cryo-EM; native mass spectrometry; AFM</x:t>
  </x:si>
  <x:si>
    <x:t xml:space="preserve">Snijder et al. 2016; Putri et al. 2017; PDB 7BCV / EMD-12144 (Allende-Ballestero et al., to be published)</x:t>
  </x:si>
  <x:si>
    <x:t xml:space="preserve">Canonical cargo-free WT T=1 assembly. Putri et al. 2017 directly characterized nonloaded B. linens encapsulin (nl-E) as an icosahedral T=1 shell with an outer diameter of 22.8 nm and an average shell thickness of 2.8-3.0 nm; the internal volume of the B. linens encapsulin particle was reported as ~2.6 × 10^6 Å^3. The inner diameter was reported to be identical to the DyP- and TFP-loaded maps, but no separate numerical inner-diameter value was given, so inner_diameter_nm is left blank. Native mass spectrometry in Snijder et al. 2016 directly detected the cargo-free 60-mer and lower-abundance assembly species. PDB 7BCV / EMD-12144 provides a 2.28 Å high-resolution cryo-EM structure of the recombinant apo shell and is an icosahedral homo-60-mer; Cuthbert et al. 2024 independently refers to 7BCV as apo-Enc. The nl-E preparation could contain nonspecifically packaged cellular material in a subset of particles, but no defined cognate cargo was present. The 30-mer, 58-mer and other lower-order species observed by native mass spectrometry are not treated as separate assemblies because they were not established as stable, structurally characterized nanocage states.</x:t>
  </x:si>
  <x:si>
    <x:t xml:space="preserve">10.1021/acs.biomac.6b00469; 10.1021/acsnano.7b07669</x:t>
  </x:si>
  <x:si>
    <x:t xml:space="preserve">The inner diameter was reported to be identical among 
nonloaded, DyP-loaded and TFP-loaded maps but was not numerically stated. From the reported internal volume (~2.6 × 10^6 Å³), a spherical-equivalent inner diameter of ~17.1 nm can be calculated; this value is not a directly reported structural measurement.</x:t>
  </x:si>
  <x:si>
    <x:t xml:space="preserve">Q45296_T1_DyP_loaded</x:t>
  </x:si>
  <x:si>
    <x:t xml:space="preserve">recombinant WT B. linens encapsulin coexpressed/reconstituted with cognate DyP cargo in E. coli; DyP-loaded (DyP-E)</x:t>
  </x:si>
  <x:si>
    <x:t xml:space="preserve">cryo-EM; native mass spectrometry; AFM; SEC; DLS; TEM</x:t>
  </x:si>
  <x:si>
    <x:t xml:space="preserve">Snijder et al. 2016; Putri et al. 2017</x:t>
  </x:si>
  <x:si>
    <x:t xml:space="preserve">Biologically relevant cognate DyP-loaded WT T=1 assembly. Native mass spectrometry in Snijder et al. 2016 directly detected a 60-subunit encapsulin containing one hexameric DyP cargo (six DyP monomers; cargo:shell-protomer ratio 1:10). Putri et al. 2017 directly reconstructed DyP-E as an icosahedral T=1 shell and measured an outer diameter of 23.2 nm, compared with 22.8 nm for nonloaded encapsulin, corresponding to an ~2% cargo-associated size increase. The loaded and nonloaded maps had the same inner diameter, while the shell thickness was 2.8-3.0 nm; the internal volume of the B. linens encapsulin particle was reported as ~2.6 × 10^6 Å^3. DyP density formed a single hexameric cargo complex connected to the shell near one threefold axis through three ordered targeting-peptide contacts. Cargo loading lowered mechanical stability and was proposed to cause local distortion near a threefold axis while retaining the global T=1 icosahedral architecture. EMD-3612 is the icosahedrally symmetrized DyP-E map; EMD-3614 is the unsymmetrized DyP-E map and EMD-3613 is the C3-symmetrized DyP-E reconstruction. No PDB atomic model has been deposited specifically for the DyP-loaded B. linens state, so structure_id is left blank. DyP-E remained largely intact from pH 5 to 11 under the tested conditions, although aggregation increased at basic pH and partial disassembly was observed at pH 11; the smaller pH-induced species are not treated as separate assemblies because no stable discrete architecture was structurally characterized.</x:t>
  </x:si>
  <x:si>
    <x:t xml:space="preserve">AaEnc shell</x:t>
  </x:si>
  <x:si>
    <x:t xml:space="preserve">recombinant cargo-free WT AaEnc expressed in 
E. coli BL21(DE3); purified assembled shell; cryo-EM at pH 7.5 (closed and open five-fold pore classes) and pH 3.0 (closed five-fold pore state); biophysical pH-stability characterization across acidic to neutral conditions</x:t>
  </x:si>
  <x:si>
    <x:t xml:space="preserve">cryo-EM; negative-stain TEM; 
DLS; SEC; static light scattering</x:t>
  </x:si>
  <x:si>
    <x:t xml:space="preserve">Jones et al. 2023</x:t>
  </x:si>
  <x:si>
    <x:t xml:space="preserve">Canonical WT cargo-free T=1 AaEnc assembly. Jones et al. 2023 directly reported a ~24 nm icosahedral cage composed of 
60 AaEnc protomers. At pH 7.5, cryo-EM resolved closed (8DN9 / EMD-27558; ~68%) and open (8DNL / EMD-27573; ~32%) five-fold pore states, while at pH 3.0 only the closed state was observed (8DNA / EMD-27560). These structures retain the same global T=1 architecture and are therefore treated as pore conformations of a single assembly rather than separate assemblies. Individual shells remained ~24 nm by TEM across the tested pH range; larger DLS diameters at acidic pH were attributed to limited aggregation, not shell expansion. Reported thermal values are aggregation temperatures (T_agg), not melting temperatures, so thermostability_tm_c is left blank. Heterologous eGFP-TP loading did not produce a distinct shell architecture.</x:t>
  </x:si>
  <x:si>
    <x:t xml:space="preserve">10.1021/acs.biomac.2c01424</x:t>
  </x:si>
  <x:si>
    <x:t xml:space="preserve">DendroEnc shell</x:t>
  </x:si>
  <x:si>
    <x:t xml:space="preserve">recombinant cargo-free WT DendroEnc expressed in E. coli; purified assembled shell</x:t>
  </x:si>
  <x:si>
    <x:t xml:space="preserve">9I8E</x:t>
  </x:si>
  <x:si>
    <x:t xml:space="preserve">Pecanac et al. 2025</x:t>
  </x:si>
  <x:si>
    <x:t xml:space="preserve">Canonical WT cargo-free T=4 DendroEnc assembly. Pecanac et al. 2025 directly reported a ~40 nm icosahedral shell composed of 240 subunits, resolved at 3.4 Å (PDB 9I8E / EMD-52715). The WT shell has an open 5-fold pore of ~10 Å, a nearly closed 6-fold pore, and an additional triangular pore. Heterologous CyanoPOX- and PTDH-mFMO-loaded WT preparations are not treated as separate assemblies because no distinct global shell architecture was demonstrated.</x:t>
  </x:si>
  <x:si>
    <x:t xml:space="preserve">A0A1G9WS71_N198W_T4</x:t>
  </x:si>
  <x:si>
    <x:t xml:space="preserve">N198W pore variant</x:t>
  </x:si>
  <x:si>
    <x:t xml:space="preserve">recombinant N198W pore-engineered DendroEnc coexpressed with heterologous CyanoPOX-TP in E. coli; CyanoPOX-loaded</x:t>
  </x:si>
  <x:si>
    <x:t xml:space="preserve">9I8F</x:t>
  </x:si>
  <x:si>
    <x:t xml:space="preserve">Structurally characterized pore-engineered T=4 variant. PDB 9I8F / EMD-52716 is an icosahedral homo-240-mer resolved at 
3.6 Å; T=4 is inferred from the 240-subunit icosahedral architecture. N198W narrows the 5-fold pore from ~10 Å to ~5 Å, while the 6-fold pore remains fully closed with a hydrophobic barrier, without altering the overall cage architecture. No separate mutant shell diameter was explicitly reported, so shell_diameter_nm is left blank.</x:t>
  </x:si>
  <x:si>
    <x:t xml:space="preserve">M. smegmatis CFP-29 shell</x:t>
  </x:si>
  <x:si>
    <x:t xml:space="preserve">native WT DyP-loaded encapsulin purified from 
M. smegmatis mc2 155; endogenous CFP-29 shell containing cognate DyP cargo</x:t>
  </x:si>
  <x:si>
    <x:t xml:space="preserve">cryo-EM; mass spectrometry</x:t>
  </x:si>
  <x:si>
    <x:t xml:space="preserve">7BOJ</x:t>
  </x:si>
  <x:si>
    <x:t xml:space="preserve">Tang et al. 2021</x:t>
  </x:si>
  <x:si>
    <x:t xml:space="preserve">Canonical native DyP-loaded WT T=1 assembly. Tang et al. 2021 isolated the endogenous CFP-29/DyP nanocompartment 
from M. smegmatis and directly reported a ~24 nm, ~2.5 nm-thick icosahedral shell composed of 60 CFP-29 subunits. The cargo is one dodecameric DyP complex (two hexamers) spanning the lumen. PDB 7BOJ / EMD-30130 represents the shell; PDB 7BOK / EMD-30131 represents the cargo and EMD-30132 the complete loaded particle, so 7BOK is not listed as a shell structure_id. Later tdNfsB-loaded shell structures 9FN9 / 9FNA retain the same global T=1 architecture and differ mainly in five-fold pore conformation, so they are not treated as separate assemblies. No distinct cargo-free WT assembly has been structurally characterized for this accession.</x:t>
  </x:si>
  <x:si>
    <x:t xml:space="preserve">BmEnc shell</x:t>
  </x:si>
  <x:si>
    <x:t xml:space="preserve">recombinant cargo-free WT BmEnc expressed in E. coli BL21(DE3); purified assembled shell; cryo-EM sample at pH 8</x:t>
  </x:si>
  <x:si>
    <x:t xml:space="preserve">McIver 2024; PDB 9FY6 / EMD-50859 (Marles-Wright 
et al., to be published)</x:t>
  </x:si>
  <x:si>
    <x:t xml:space="preserve">Canonical recombinant cargo-free WT T=4 BmEnc assembly. McIver 2024 identified BmEnc as a T=4 encapsulin; 
PDB 9FY6 / EMD-50859 provides a 2.82 Å cryo-EM structure of an icosahedral homo-240-mer expressed in E. coli BL21(DE3). No quantitative shell diameter, inner diameter, wall thickness, or inner volume was directly reported in the public structural record, so these fields are left blank. BmEnc is an IMEF-type system, but no native IMEF-loaded BmEnc assembly has been structurally characterized. Kwon et al. 2026 showed post-assembly in vitro loading of CLP-tagged heterologous cargo into BmEnc without demonstrating a distinct global shell architecture, so this loaded preparation is not treated as a separate assembly.</x:t>
  </x:si>
  <x:si>
    <x:t xml:space="preserve">M. hassiacum encapsulin</x:t>
  </x:si>
  <x:si>
    <x:t xml:space="preserve">recombinant cargo-free WT EncMh expressed in E. coli; purified assembled shell; cryo-EM characterization and X-ray crystallography (6I9G)</x:t>
  </x:si>
  <x:si>
    <x:t xml:space="preserve">cryo-EM; X-ray crystallography</x:t>
  </x:si>
  <x:si>
    <x:t xml:space="preserve">Loncar et al. 2020</x:t>
  </x:si>
  <x:si>
    <x:t xml:space="preserve">Canonical recombinant cargo-free WT T=1 EncMh assembly. Loncar et al. 2020 directly reported a 60-subunit icosahedral 
capsid; cryo-EM particles were ~22 nm and the 2.5 Å crystal structure 6I9G measured 23 nm with a 2.0–2.5 nm protein layer. The oligomeric shell remained stable up to 50 °C, but this is not a Tm. Heterologous cargo-loaded preparations and later EncMh fusion/loading applications are not treated as separate assemblies because no distinct shell architecture was demonstrated.</x:t>
  </x:si>
  <x:si>
    <x:t xml:space="preserve">K. pneumoniae encapsulin</x:t>
  </x:si>
  <x:si>
    <x:t xml:space="preserve">recombinant WT KpEnc coexpressed with cognate 
full-length KpDyP cargo in E. coli BL21(DE3); DyP-loaded</x:t>
  </x:si>
  <x:si>
    <x:t xml:space="preserve">cryo-EM; negative-stain TEM; 
DLS; SEC</x:t>
  </x:si>
  <x:si>
    <x:t xml:space="preserve">Jones, Andreas &amp; Giessen 2024</x:t>
  </x:si>
  <x:si>
    <x:t xml:space="preserve">Canonical cognate DyP-loaded WT T=1 KpEnc assembly. Jones, Andreas &amp; Giessen 2024 directly reported a 24 nm 
icosahedral shell composed of 60 KpEnc subunits. PDB 8U50 / EMD-41905 represents the WT shell coexpressed with cognate full-length KpDyP cargo, with an average loading of ~12 DyP monomers per shell; most cargo remained flexible and was not resolved in the icosahedrally averaged shell model. PDB 8U51 / EMD-41906 represents the same WT T=1 shell loaded with heterologous SUMO fused to the native DyP targeting peptide to increase targeting-peptide occupancy and resolve the TP-shell interaction; this engineered cargo-loading condition is not treated as a distinct assembly because the global shell architecture is unchanged. PDB 8U4Z / EMD-41904 represents isolated KpDyP cargo and is not a shell assembly.</x:t>
  </x:si>
  <x:si>
    <x:t xml:space="preserve">R. rubrum encapsulin</x:t>
  </x:si>
  <x:si>
    <x:t xml:space="preserve">recombinant cargo-free WT R. rubrum 
encapsulin expressed in E. coli; empty/apo shell</x:t>
  </x:si>
  <x:si>
    <x:t xml:space="preserve">negative-stain TEM; cryo-EM</x:t>
  </x:si>
  <x:si>
    <x:t xml:space="preserve">9RY4</x:t>
  </x:si>
  <x:si>
    <x:t xml:space="preserve">He et al. 2016; McIver et al. 2026</x:t>
  </x:si>
  <x:si>
    <x:t xml:space="preserve">Canonical recombinant cargo-free WT T=1 R. rubrum encapsulin assembly. He et al. 2016 measured empty recombinant 
particles at 24.6 ± 2.0 nm by negative-stain TEM. McIver et al. 2026 resolved the empty shell by cryo-EM as an icosahedral homo-60-mer at 2.0 Å (PDB 9RY4 / EMD-54372); T=1 is assigned from the experimentally established 60-subunit icosahedral architecture. PDB 9RY7 / EMD-54373 is a focused closed five-fold pentamer derived from the same empty cage and is treated as a local pore structure rather than a separate assembly.</x:t>
  </x:si>
  <x:si>
    <x:t xml:space="preserve">Q2RVS0_T1_EncFtn_loaded</x:t>
  </x:si>
  <x:si>
    <x:t xml:space="preserve">recombinant WT R. rubrum encapsulin 
coexpressed with cognate EncFtn cargo in E. coli; EncFtn-loaded</x:t>
  </x:si>
  <x:si>
    <x:t xml:space="preserve">9RZM;9SQR</x:t>
  </x:si>
  <x:si>
    <x:t xml:space="preserve">Biologically relevant cognate EncFtn-loaded WT T=1 assembly. He et al. 2016 measured coexpressed EncFtn-Enc 
particles at 23.9 ± 2.2 nm by negative-stain TEM. McIver et al. 2026 resolved the loaded shell by cryo-EM and showed an icosahedral 60-subunit architecture with greater five-fold pore flexibility than the empty shell; cargo loading was heterogeneous, with up to five EncFtn decamers per cage. PDB 9RZM / EMD-54404 represents the loaded shell reconstruction, while PDB 9SQR / EMD-55116 is a symmetry-relaxed loaded nanocompartment containing the 60-subunit shell and resolved EncFtn cargo. Focused open/closed pentamer structures 9S05 and 9RZU are treated as pore conformations, not separate assemblies.</x:t>
  </x:si>
  <x:si>
    <x:t xml:space="preserve">R. jostii RHA1 shell</x:t>
  </x:si>
  <x:si>
    <x:t xml:space="preserve">recombinant WT encapsulin overexpressed in 
R. jostii RHA1 Δencapsulin/pTipQC2; purified assembled encapsulin-only preparation</x:t>
  </x:si>
  <x:si>
    <x:t xml:space="preserve">DLS; native PAGE; size-exclusion chromatography</x:t>
  </x:si>
  <x:si>
    <x:t xml:space="preserve">Rahmanpour &amp; Bugg 2013; Jones &amp; Giessen 2021</x:t>
  </x:si>
  <x:si>
    <x:t xml:space="preserve">Canonical experimentally assembled WT R. jostii RHA1 encapsulin. Rahmanpour &amp; Bugg 2013 reported a high-Mr particle
 (~1.8 MDa by calibrated gel filtration) and a ~22 nm DLS particle size. The paper inconsistently refers to the DLS value as radius and diameter; because it directly compares 22 nm with the 24 nm diameter of T. maritima, 22 nm is retained here as the reported particle diameter with this ambiguity noted. Jones &amp; Giessen 2021 classify the R. jostii shell as a 60-subunit T=1 encapsulin; icosahedral symmetry, T=1 and 60 subunits are therefore recorded as supported inferences rather than direct structural measurements. Acid-induced disassembly and neutral-pH reassembly produced a ~31 nm DLS particle, but this was not structurally characterized as a distinct expanded assembly.</x:t>
  </x:si>
  <x:si>
    <x:t xml:space="preserve">10.1111/febs.12234; 10.1002/bit.27564</x:t>
  </x:si>
  <x:si>
    <x:t xml:space="preserve">Q0SE23_DypB_loaded</x:t>
  </x:si>
  <x:si>
    <x:t xml:space="preserve">WT shell disassembled at pH 3.0 in the presence of cognate recombinant DypB and reassembled in vitro at pH 7.4; DypB-loaded</x:t>
  </x:si>
  <x:si>
    <x:t xml:space="preserve">size-exclusion chromatography; SDS-PAGE; UV-vis spectroscopy; activity assay</x:t>
  </x:si>
  <x:si>
    <x:t xml:space="preserve">Experimentally reconstituted cognate DypB-loaded WT nanocompartment. The Enc-DypB complex eluted at a retention time 
similar to the encapsulin-only particle and contained both proteins, with a measured encapsulin:DypB molar ratio of 8.6:1. The loaded complex also showed enhanced lignin-degradation activity per mole of DypB. A 60-shell-subunit/6-DypB model was proposed by comparison with T. maritima rather than directly determined for Q0SE23. Jones &amp; Giessen 2021 classify the R. jostii shell as a 60-subunit T=1 encapsulin; icosahedral symmetry, T=1 and 60 shell subunits are therefore recorded here as supported inferences. No loaded-state shell diameter was directly measured.</x:t>
  </x:si>
  <x:si>
    <x:t xml:space="preserve">signal-peptide-less cEnc with native N-terminal diheme cytochrome domain</x:t>
  </x:si>
  <x:si>
    <x:t xml:space="preserve">recombinant WT cEnc expressed anaerobically in 
E. coli BL21(DE3) Star; native N-terminal signal peptide omitted; cargo-free shell characterization</x:t>
  </x:si>
  <x:si>
    <x:t xml:space="preserve">negative-stain TEM; SDS-PAGE; 
UV-Vis spectroscopy</x:t>
  </x:si>
  <x:si>
    <x:t xml:space="preserve">Giessen &amp; Silver 2017</x:t>
  </x:si>
  <x:si>
    <x:t xml:space="preserve">Canonical recombinant WT T=3 cEnc assembly. Giessen &amp; Silver 2017 placed the K. stuttgartiensis shell in the T=3 class 
and measured 33 nm particles by negative-stain TEM. The N-terminal diheme cytochrome domain is a native fusion and is therefore part of the WT shell protein rather than an engineered modification. The experimental construct omitted the predicted 36-residue N-terminal signal peptide. When the isolated NIR domain of the cognate NIR-HAO protein was coexpressed, ~30 NIR copies co-purified per 180-mer capsid, but this truncated cargo-loading condition did not demonstrate a distinct global shell architecture and is not treated as a separate assembly.</x:t>
  </x:si>
  <x:si>
    <x:t xml:space="preserve">Q1Q6L7_delta_cyt</x:t>
  </x:si>
  <x:si>
    <x:t xml:space="preserve">cEnc ΔCyt lacking the N-terminal diheme cytochrome domain</x:t>
  </x:si>
  <x:si>
    <x:t xml:space="preserve">recombinant engineered cEnc ΔCyt expressed anaerobically in E. coli BL21(DE3) Sta
r; predicted signal peptide and N-terminal diheme cytochrome domain removed; cargo-free shell characterization</x:t>
  </x:si>
  <x:si>
    <x:t xml:space="preserve">negative-stain TEM; SDS-PAGE</x:t>
  </x:si>
  <x:si>
    <x:t xml:space="preserve">Structurally distinct engineered ΔCyt assembly. Removal of the N-terminal diheme cytochrome domain produced stable 
~29 nm capsids compared with 33 nm WT cEnc, showing that the native fusion domain influences global shell size. The study reports ~15 co-purifying NIR copies per 180-mer ΔCyt capsid when the isolated NIR cargo domain was coexpressed; 180 shell subunits are therefore recorded and T=3 is inferred from the 180-mer icosahedral architecture. The isolated NIR-loaded condition is not treated as a separate assembly because full-length NIR-HAO was insoluble and no distinct cage architecture was demonstrated.</x:t>
  </x:si>
  <x:si>
    <x:t xml:space="preserve">purified putative encapsulating protein</x:t>
  </x:si>
  <x:si>
    <x:t xml:space="preserve">native putative encapsulin purified from mitomycin 
C-induced Brevibacillus laterosporus Bl 1821L culture; sucrose-gradient/MWCO-enriched ~30 kDa preparation; capsid-like particles observed by TEM</x:t>
  </x:si>
  <x:si>
    <x:t xml:space="preserve">TEM; SDS-PAGE; N-terminal sequencing</x:t>
  </x:si>
  <x:si>
    <x:t xml:space="preserve">Babar et al. 2022; Babar et al. 2023</x:t>
  </x:si>
  <x:si>
    <x:t xml:space="preserve">Experimentally observed putative WT encapsulin assembly from B. laterosporus Bl 1821L. Babar et al. 2023 identified the 
~30 kDa purified preparation as consistent with A0A502IA18/WP_113757162 and observed predominantly globular or hexagonal capsid-like particles by TEM; related preparations had already shown encapsulin-like particles in Babar et al. 2022. Sequence analysis supports classification as a family 1 encapsulin shell protein. No quantitative particle diameter, T-number, shell subunit count or high-resolution shell structure was determined, so these fields are left blank. N-terminal analysis indicated possible co-migration with an adjacent ~25 kDa hypothetical protein.</x:t>
  </x:si>
  <x:si>
    <x:t xml:space="preserve">10.3390/pr10101932; 10.1007/s00253-023-12563-8</x:t>
  </x:si>
  <x:si>
    <x:t xml:space="preserve">pore_record_id</x:t>
  </x:si>
  <x:si>
    <x:t xml:space="preserve">pore_type</x:t>
  </x:si>
  <x:si>
    <x:t xml:space="preserve">pore_state</x:t>
  </x:si>
  <x:si>
    <x:t xml:space="preserve">pore_diameter_nm</x:t>
  </x:si>
  <x:si>
    <x:t xml:space="preserve">diameter_basis</x:t>
  </x:si>
  <x:si>
    <x:t xml:space="preserve">dynamic_status</x:t>
  </x:si>
  <x:si>
    <x:t xml:space="preserve">charge_exterior</x:t>
  </x:si>
  <x:si>
    <x:t xml:space="preserve">charge_interior</x:t>
  </x:si>
  <x:si>
    <x:t xml:space="preserve">pH</x:t>
  </x:si>
  <x:si>
    <x:t xml:space="preserve">Q1D6H4_p2</x:t>
  </x:si>
  <x:si>
    <x:t xml:space="preserve">2fold</x:t>
  </x:si>
  <x:si>
    <x:t xml:space="preserve">closed</x:t>
  </x:si>
  <x:si>
    <x:t xml:space="preserve">single_state_observed</x:t>
  </x:si>
  <x:si>
    <x:t xml:space="preserve">recombinant empty T=3  shell expressed in E. coli</x:t>
  </x:si>
  <x:si>
    <x:t xml:space="preserve">cryo-EM; structural study</x:t>
  </x:si>
  <x:si>
    <x:t xml:space="preserve">7S20</x:t>
  </x:si>
  <x:si>
    <x:t xml:space="preserve">Eren et al. 2022</x:t>
  </x:si>
  <x:si>
    <x:t xml:space="preserve">10.1016/j.str.2022.01.008</x:t>
  </x:si>
  <x:si>
    <x:t xml:space="preserve">Q1D6H4_p3</x:t>
  </x:si>
  <x:si>
    <x:t xml:space="preserve">3fold</x:t>
  </x:si>
  <x:si>
    <x:t xml:space="preserve">open</x:t>
  </x:si>
  <x:si>
    <x:t xml:space="preserve">reported_diameter</x:t>
  </x:si>
  <x:si>
    <x:t xml:space="preserve">positive</x:t>
  </x:si>
  <x:si>
    <x:t xml:space="preserve">negative</x:t>
  </x:si>
  <x:si>
    <x:t xml:space="preserve">recombinant empty T=3 shell expressed in E. coli</x:t>
  </x:si>
  <x:si>
    <x:t xml:space="preserve">cryo-EM; structural/electrostatic analysis;
 atomic-model pore measurement</x:t>
  </x:si>
  <x:si>
    <x:t xml:space="preserve">Eren et al. 2022; Kwon et al. 2024</x:t>
  </x:si>
  <x:si>
    <x:t xml:space="preserve">10.1016/j.str.2022.01.008; 10.1021/acsnano.4c08186</x:t>
  </x:si>
  <x:si>
    <x:t xml:space="preserve">Q1D6H4_p5</x:t>
  </x:si>
  <x:si>
    <x:t xml:space="preserve">5fold</x:t>
  </x:si>
  <x:si>
    <x:t xml:space="preserve">demonstrated</x:t>
  </x:si>
  <x:si>
    <x:t xml:space="preserve">neutral</x:t>
  </x:si>
  <x:si>
    <x:t xml:space="preserve">cryo-EM / structural study; electrostatic analysis;
 atomic-model pore measurement</x:t>
  </x:si>
  <x:si>
    <x:t xml:space="preserve">Q1D6H4_T3_loaded_p2</x:t>
  </x:si>
  <x:si>
    <x:t xml:space="preserve">recombinant SNAP-tag-TP-loaded shell expressed in E. coli</x:t>
  </x:si>
  <x:si>
    <x:t xml:space="preserve">Purified protein was stored in 20 mM Tris, 150 mM NaCl, pH 7.5 prior to structural analysis</x:t>
  </x:si>
  <x:si>
    <x:t xml:space="preserve">Q1D6H4_T3_loaded_p3</x:t>
  </x:si>
  <x:si>
    <x:t xml:space="preserve">cryo-EM / structural study; electrostatic analysis</x:t>
  </x:si>
  <x:si>
    <x:t xml:space="preserve">3-fold pore located at the center of the hexameric facet.</x:t>
  </x:si>
  <x:si>
    <x:t xml:space="preserve">Q1D6H4_T3_loaded_p5</x:t>
  </x:si>
  <x:si>
    <x:t xml:space="preserve">5-fold pore located at the center of the pentameric facet.</x:t>
  </x:si>
  <x:si>
    <x:t xml:space="preserve">Q1D6H4_3xHis_Tet_p2</x:t>
  </x:si>
  <x:si>
    <x:t xml:space="preserve">other</x:t>
  </x:si>
  <x:si>
    <x:t xml:space="preserve">not_reported</x:t>
  </x:si>
  <x:si>
    <x:t xml:space="preserve">recombinant empty tetrahedral 3×His-MxEnc shell expressed in E. coli</x:t>
  </x:si>
  <x:si>
    <x:t xml:space="preserve">Novel twofold-symmetric interaction at each tetrahedral edge creates a large elongated pore with approximate dimensions of 15 × 30 Å (1.5 × 3.0 nm)</x:t>
  </x:si>
  <x:si>
    <x:t xml:space="preserve">Q1D6H4_pmut_T3_p3</x:t>
  </x:si>
  <x:si>
    <x:t xml:space="preserve">LOOK AT FIGURE 3</x:t>
  </x:si>
  <x:si>
    <x:t xml:space="preserve">cryo-EM / structural study; electrostatic analysis; 
atomic-model pore measurement; HOLE analysis</x:t>
  </x:si>
  <x:si>
    <x:t xml:space="preserve">anisotropic opening 13.3 × 21.6 Å. HOLE minimum: 12.1 Å. Exterior less charged; interior/transit slightly negative.</x:t>
  </x:si>
  <x:si>
    <x:t xml:space="preserve">Q1D6H4_pmut_T3_p5</x:t>
  </x:si>
  <x:si>
    <x:t xml:space="preserve">atomic-model diameter 12.6 Å. HOLE minimum: 9.6 Å. Exterior less charged; interior/transit slightly negative.</x:t>
  </x:si>
  <x:si>
    <x:t xml:space="preserve">Q1D6H4_pmut_T4_p3</x:t>
  </x:si>
  <x:si>
    <x:t xml:space="preserve">anisotropic opening 13.7 × 30.6 Å. HOLE minimum: 11.5 Å. Exterior less charged; interior/transit slightly negative.</x:t>
  </x:si>
  <x:si>
    <x:t xml:space="preserve">Q1D6H4_pmut_T4_p5</x:t>
  </x:si>
  <x:si>
    <x:t xml:space="preserve">atomic-model diameter 13.6 Å. HOLE minimum: 10.6 Å. Exterior less charged; interior/transit slightly negative.</x:t>
  </x:si>
  <x:si>
    <x:t xml:space="preserve">Q9WZP2_p5</x:t>
  </x:si>
  <x:si>
    <x:t xml:space="preserve">narrowest_point</x:t>
  </x:si>
  <x:si>
    <x:t xml:space="preserve">native WT shell purified from T. maritima</x:t>
  </x:si>
  <x:si>
    <x:t xml:space="preserve">X-ray crystallography; HOLE pore analysis; 
electrostatic analysis</x:t>
  </x:si>
  <x:si>
    <x:t xml:space="preserve">3DKT</x:t>
  </x:si>
  <x:si>
    <x:t xml:space="preserve">Sutter et al. 2008; Adamson et al. 2022</x:t>
  </x:si>
  <x:si>
    <x:t xml:space="preserve">10.1038/nsmb.1473; 10.1126/sciadv.abl7346</x:t>
  </x:si>
  <x:si>
    <x:t xml:space="preserve">HOLE minimum: 2.9 Å. Negative exterior entrance; positively charged interior surface.</x:t>
  </x:si>
  <x:si>
    <x:t xml:space="preserve">Q9WZP2_S1R_p5</x:t>
  </x:si>
  <x:si>
    <x:t xml:space="preserve">cryo-EM; HOLE pore analysis; 
APBS electrostatic analysis</x:t>
  </x:si>
  <x:si>
    <x:t xml:space="preserve">HOLE minimum: 3.5 Å. Positive exterior and interior; Y191 forms the narrowest region.</x:t>
  </x:si>
  <x:si>
    <x:t xml:space="preserve">Q9WZP2_S1K_p5</x:t>
  </x:si>
  <x:si>
    <x:t xml:space="preserve">HOLE minimum: 4.0 Å. Positive exterior and interior; Y191 forms the narrowest region.</x:t>
  </x:si>
  <x:si>
    <x:t xml:space="preserve">Q9WZP2_S3E_p5</x:t>
  </x:si>
  <x:si>
    <x:t xml:space="preserve">HOLE minimum: 5.5 Å. Strongly negative pore channel and both entrances.</x:t>
  </x:si>
  <x:si>
    <x:t xml:space="preserve">Q9WZP2_S5D_p5</x:t>
  </x:si>
  <x:si>
    <x:t xml:space="preserve">HOLE minimum: 10.7 Å. Strongly negative exterior/channel; K195 contributes positive charge at the interior entrance.</x:t>
  </x:si>
  <x:si>
    <x:t xml:space="preserve">Q9WZP2_S7D_p5</x:t>
  </x:si>
  <x:si>
    <x:t xml:space="preserve">HOLE minimum: 10.1 Å. Negative exterior entrance; pore channel partially neutralized.</x:t>
  </x:si>
  <x:si>
    <x:t xml:space="preserve">Q9WZP2_S6E_p5</x:t>
  </x:si>
  <x:si>
    <x:t xml:space="preserve">mixed</x:t>
  </x:si>
  <x:si>
    <x:t xml:space="preserve">HOLE minimum: 6.7 Å. Positive exterior/channel; electrostatic profile similar to S7G, with mixed contributions at the interior opening.</x:t>
  </x:si>
  <x:si>
    <x:t xml:space="preserve">Q9WZP2_S7G_p5</x:t>
  </x:si>
  <x:si>
    <x:t xml:space="preserve">7LIT</x:t>
  </x:si>
  <x:si>
    <x:t xml:space="preserve">HOLE minimum: 11.3 Å. Highly positive exterior/channel; negative E199 and positive K195 contributions balance at the interior opening</x:t>
  </x:si>
  <x:si>
    <x:t xml:space="preserve">Q9WZP2_T1_empty_p5</x:t>
  </x:si>
  <x:si>
    <x:t xml:space="preserve">cryo-EM; CHAP channel analysis</x:t>
  </x:si>
  <x:si>
    <x:t xml:space="preserve">7KQ5</x:t>
  </x:si>
  <x:si>
    <x:t xml:space="preserve">Wiryaman &amp; Toor 2021</x:t>
  </x:si>
  <x:si>
    <x:t xml:space="preserve">Minimum radius 2.4 Å; diameter calculated as 4.8 Å (0.48 nm). His187 is poorly resolved, suggesting local conformational flexibility.</x:t>
  </x:si>
  <x:si>
    <x:t xml:space="preserve">Q9WZP2_T1_empty_p3</x:t>
  </x:si>
  <x:si>
    <x:t xml:space="preserve">Minimum radius 2.9 Å; diameter calculated as 5.8 Å (0.58 nm). Interior Phe8 residues may restrict transport.</x:t>
  </x:si>
  <x:si>
    <x:t xml:space="preserve">Q9WZP2_T1_empty_p2a_large</x:t>
  </x:si>
  <x:si>
    <x:t xml:space="preserve">2fold_adjacent</x:t>
  </x:si>
  <x:si>
    <x:t xml:space="preserve">cryo-EM; structural channel analysis</x:t>
  </x:si>
  <x:si>
    <x:t xml:space="preserve">Two dimer-interface channels with radius 2.0 Å; diameter calculated as 4.0 Å (0.40 nm). Lined by hydrophilic residues.</x:t>
  </x:si>
  <x:si>
    <x:t xml:space="preserve">Q9WZP2_T1_empty_p2a_small</x:t>
  </x:si>
  <x:si>
    <x:t xml:space="preserve">One dimer-interface channel with radius 1.2 Å; diameter calculated as 2.4 Å (0.24 nm). Lined by hydrophilic residues.</x:t>
  </x:si>
  <x:si>
    <x:t xml:space="preserve">I6WZG6_p5</x:t>
  </x:si>
  <x:si>
    <x:t xml:space="preserve">recombinant WT shell expressed in E. coli; low-pH disassembly followed by 
neutral-pH reassembly</x:t>
  </x:si>
  <x:si>
    <x:t xml:space="preserve">cryo-EM; structural/electrostatic analysis</x:t>
  </x:si>
  <x:si>
    <x:t xml:space="preserve">7P1T</x:t>
  </x:si>
  <x:si>
    <x:t xml:space="preserve">Central 5-fold pore; reported diameter 9 Å. Slightly positive exterior and neutral interior.</x:t>
  </x:si>
  <x:si>
    <x:t xml:space="preserve">I6WZG6_p3</x:t>
  </x:si>
  <x:si>
    <x:t xml:space="preserve">Central 3-fold pore; reported diameter 6 Å. Pore described overall as slightly negatively charged.</x:t>
  </x:si>
  <x:si>
    <x:t xml:space="preserve">I6WZG6_p2a_large</x:t>
  </x:si>
  <x:si>
    <x:t xml:space="preserve">Large pore at the interface between two Enc subunits within the pentamer; reported diameter 9 Å. Pore described overall as negatively charged.</x:t>
  </x:si>
  <x:si>
    <x:t xml:space="preserve">I6WZG6_p2a_small</x:t>
  </x:si>
  <x:si>
    <x:t xml:space="preserve">Small pore at the interface between two Enc subunits within the pentamer; reported diameter 5 Å. Pore described overall as more neutral.</x:t>
  </x:si>
  <x:si>
    <x:t xml:space="preserve">I6WZG6_DyP_9BKX_p5</x:t>
  </x:si>
  <x:si>
    <x:t xml:space="preserve">recombinant DyP-loaded WT T=1 shell expressed in E. coli</x:t>
  </x:si>
  <x:si>
    <x:t xml:space="preserve">X-ray crystallography; CAVER pore analysis; 
APBS electrostatic analysis</x:t>
  </x:si>
  <x:si>
    <x:t xml:space="preserve">9BKX</x:t>
  </x:si>
  <x:si>
    <x:t xml:space="preserve">Cuthbert et al. 2024</x:t>
  </x:si>
  <x:si>
    <x:t xml:space="preserve">10.3390/microorganisms12122465</x:t>
  </x:si>
  <x:si>
    <x:t xml:space="preserve">Five-fold major pore; CAVER bottleneck diameter 3.6 Å. Only slightly open and substantially less open than the corresponding pore in 
cryo-EM Mtb-Enc structures. Electrostatics are pH-dependent: exterior positive at pH 4.5 and strongly negative at neutral pH; interior neutral-to-slightly negative at pH 4.5 and negative-to-neutral at neutral pH.</x:t>
  </x:si>
  <x:si>
    <x:t xml:space="preserve">I6WZG6_DyP_8PYS_p5</x:t>
  </x:si>
  <x:si>
    <x:t xml:space="preserve">cryo-EM; CAVER pore analysis; 
APBS electrostatic analysis</x:t>
  </x:si>
  <x:si>
    <x:t xml:space="preserve">8PYS</x:t>
  </x:si>
  <x:si>
    <x:t xml:space="preserve">Five-fold major pore; CAVER bottleneck diameter 7.3 Å. Significantly more open than the corresponding pore in 9BKX. Electrostatics are 
pH-dependent: exterior positive at pH 4.5 and neutral-to-negative at neutral pH; interior positive at low pH and negative-to-neutral at neutral pH.</x:t>
  </x:si>
  <x:si>
    <x:t xml:space="preserve">I6WZG6_DyP_9BKX_p5a</x:t>
  </x:si>
  <x:si>
    <x:t xml:space="preserve">5fold_adjacent</x:t>
  </x:si>
  <x:si>
    <x:t xml:space="preserve">X-ray crystallography; MOLE pore analysis; 
APBS electrostatic analysis</x:t>
  </x:si>
  <x:si>
    <x:t xml:space="preserve">Five-fold minor pore adjacent to the major five-fold pore; MOLE bottleneck diameter 3.4 ± 0.8 Å. Electrostatics are pH-dependent: exterior and 
interior are strongly negative at pH 7, while the pore is overall slightly negative at pH 4.5.</x:t>
  </x:si>
  <x:si>
    <x:t xml:space="preserve">I6WZG6_DyP_8PYS_p5a</x:t>
  </x:si>
  <x:si>
    <x:t xml:space="preserve">cryo-EM; MOLE pore analysis; 
APBS electrostatic analysis</x:t>
  </x:si>
  <x:si>
    <x:t xml:space="preserve">Five-fold minor pore adjacent to the major five-fold pore; MOLE bottleneck diameter 2.8 ± 0.3 Å. Electrostatics are pH-dependent: exterior and 
interior are strongly negative at pH 7 and become more neutral at low pH.</x:t>
  </x:si>
  <x:si>
    <x:t xml:space="preserve">A0A0F5HPP7_p3</x:t>
  </x:si>
  <x:si>
    <x:t xml:space="preserve">Largest shell channel; additional central density may represent ions/water or symmetry averaging.</x:t>
  </x:si>
  <x:si>
    <x:t xml:space="preserve">A0A0F5HPP7_p5</x:t>
  </x:si>
  <x:si>
    <x:t xml:space="preserve">Local loop flexibility suggests possible gating.</x:t>
  </x:si>
  <x:si>
    <x:t xml:space="preserve">A0A0F5HPP7_pseudo3</x:t>
  </x:si>
  <x:si>
    <x:t xml:space="preserve">pseudo_3fold_PHH</x:t>
  </x:si>
  <x:si>
    <x:t xml:space="preserve">Located at the interface between two hexameric and one pentameric capsomer.</x:t>
  </x:si>
  <x:si>
    <x:t xml:space="preserve">D0LZ74_p5_wide</x:t>
  </x:si>
  <x:si>
    <x:t xml:space="preserve">Enc:EncFtn</x:t>
  </x:si>
  <x:si>
    <x:t xml:space="preserve">recombinant EncFtn-loaded WT shell expressed in E. coli</x:t>
  </x:si>
  <x:si>
    <x:t xml:space="preserve">cryo-EM; focused 3D classification/refinement</x:t>
  </x:si>
  <x:si>
    <x:t xml:space="preserve">7OEU</x:t>
  </x:si>
  <x:si>
    <x:t xml:space="preserve">Wide conformation; five-fold aperture expands to ~15 Å.</x:t>
  </x:si>
  <x:si>
    <x:t xml:space="preserve">D0LZ74_p5_narrow</x:t>
  </x:si>
  <x:si>
    <x:t xml:space="preserve">7OE2</x:t>
  </x:si>
  <x:si>
    <x:t xml:space="preserve">Narrow conformation, termed "closed" by Ross et al.; a ~5 Å aperture remains.</x:t>
  </x:si>
  <x:si>
    <x:t xml:space="preserve">Q55032_p5</x:t>
  </x:si>
  <x:si>
    <x:t xml:space="preserve">recombinant WT SrpI shell refolded in vitro in the presence of CyD; 
CyD-loaded (holo)</x:t>
  </x:si>
  <x:si>
    <x:t xml:space="preserve">cryo-EM; HOLE pore analysis; 
electrostatic analysis</x:t>
  </x:si>
  <x:si>
    <x:t xml:space="preserve">Gly194 and Pro196 form the constriction; Arg192 and Arg304 contribute to the positively charged exterior.</x:t>
  </x:si>
  <x:si>
    <x:t xml:space="preserve">Q8U1L4_p5</x:t>
  </x:si>
  <x:si>
    <x:t xml:space="preserve">full-length ferritin-like–encapsulin 
fusion protein</x:t>
  </x:si>
  <x:si>
    <x:t xml:space="preserve">native WT full-length fusion particles purified from P. furiosus DSM 3638</x:t>
  </x:si>
  <x:si>
    <x:t xml:space="preserve">X-ray crystallography; comparative structural 
analysis</x:t>
  </x:si>
  <x:si>
    <x:t xml:space="preserve">Akita et al. 2007; Giessen 2024</x:t>
  </x:si>
  <x:si>
    <x:t xml:space="preserve">10.1016/j.jmb.2007.02.075; 10.1002/cbic.202400535</x:t>
  </x:si>
  <x:si>
    <x:t xml:space="preserve">Approximate pore diameter from later structural analysis of 2E0Z.</x:t>
  </x:si>
  <x:si>
    <x:t xml:space="preserve">Q45296_ref_p3</x:t>
  </x:si>
  <x:si>
    <x:t xml:space="preserve">range</x:t>
  </x:si>
  <x:si>
    <x:t xml:space="preserve">nonloaded WT encapsulin (nl-E)</x:t>
  </x:si>
  <x:si>
    <x:t xml:space="preserve">cryo-EM; structural analysis</x:t>
  </x:si>
  <x:si>
    <x:t xml:space="preserve">Putri et al. 2017</x:t>
  </x:si>
  <x:si>
    <x:t xml:space="preserve">10.1021/acsnano.7b07669</x:t>
  </x:si>
  <x:si>
    <x:t xml:space="preserve">Pores ~5–8 Å in diameter at/around the 3-fold axes (EMD-3608).</x:t>
  </x:si>
  <x:si>
    <x:t xml:space="preserve">Q45296_DyP_p3</x:t>
  </x:si>
  <x:si>
    <x:t xml:space="preserve">DyP-loaded WT encapsulin (DyP-E)</x:t>
  </x:si>
  <x:si>
    <x:t xml:space="preserve">Pores ~5–8 Å in diameter at/around the 3-fold axes; DyP density connects at one 3-fold axis (EMD-3612/3613).</x:t>
  </x:si>
  <x:si>
    <x:t xml:space="preserve">K7RV67_p5_wide_75</x:t>
  </x:si>
  <x:si>
    <x:t xml:space="preserve">7.5</x:t>
  </x:si>
  <x:si>
    <x:t xml:space="preserve">8DNL</x:t>
  </x:si>
  <x:si>
    <x:t xml:space="preserve">Paper-defined open conformation; ~32% of particles at pH 7.5.</x:t>
  </x:si>
  <x:si>
    <x:t xml:space="preserve">K7RV67_p5_narrow_75</x:t>
  </x:si>
  <x:si>
    <x:t xml:space="preserve">8DN9</x:t>
  </x:si>
  <x:si>
    <x:t xml:space="preserve">Paper-defined closed conformation despite measurable aperture; ~68% of particles at pH 7.5.</x:t>
  </x:si>
  <x:si>
    <x:t xml:space="preserve">K7RV67_p5_narrow_30</x:t>
  </x:si>
  <x:si>
    <x:t xml:space="preserve">3.0</x:t>
  </x:si>
  <x:si>
    <x:t xml:space="preserve">8DNA</x:t>
  </x:si>
  <x:si>
    <x:t xml:space="preserve">Only the paper-defined closed conformation observed; structurally similar to 8DN9 (protomer RMSD 0.32 Å).</x:t>
  </x:si>
  <x:si>
    <x:t xml:space="preserve">A0A1G9WS71_p5</x:t>
  </x:si>
  <x:si>
    <x:t xml:space="preserve">recombinant cargo-free WT DendroEnc expressed in E. coli</x:t>
  </x:si>
  <x:si>
    <x:t xml:space="preserve">Pore lined by hydrophilic Thr/Asn residues; no hydrophobic inner barrier.</x:t>
  </x:si>
  <x:si>
    <x:t xml:space="preserve">A0A1G9WS71_N198W_p5</x:t>
  </x:si>
  <x:si>
    <x:t xml:space="preserve">recombinant N198W DendroEnc coexpressed with CyanoPOX-TP in E. coli;
 CyanoPOX-loaded</x:t>
  </x:si>
  <x:si>
    <x:t xml:space="preserve">Five W198 residues constrict the pore; CyanoPOX-loaded mutant showed ~5-fold lower ABTS activity than loaded WT.</x:t>
  </x:si>
  <x:si>
    <x:t xml:space="preserve">A0A1G9WS71_N198W_p6</x:t>
  </x:si>
  <x:si>
    <x:t xml:space="preserve">hexamer_center</x:t>
  </x:si>
  <x:si>
    <x:t xml:space="preserve">W198 forms a hydrophobic barrier occluding the hexamer-center pore.</x:t>
  </x:si>
  <x:si>
    <x:t xml:space="preserve">A0R4H0_p5</x:t>
  </x:si>
  <x:si>
    <x:t xml:space="preserve">CFP-29 shell</x:t>
  </x:si>
  <x:si>
    <x:t xml:space="preserve">native WT DyP-loaded encapsulin purified from M. smegmatis mc2 155</x:t>
  </x:si>
  <x:si>
    <x:t xml:space="preserve">cryo-EM; pore analysis; APBS/CAVER</x:t>
  </x:si>
  <x:si>
    <x:t xml:space="preserve">Tang et al. 2021; Cuthbert et al. 2024</x:t>
  </x:si>
  <x:si>
    <x:t xml:space="preserve">10.1073/pnas.2025658118; 10.3390/microorganisms12122465</x:t>
  </x:si>
  <x:si>
    <x:t xml:space="preserve">Tang: 6.8 Å after van der Waals correction; Cuthbert: 6.9 Å by CAVER. Interior charge varies with pH.</x:t>
  </x:si>
  <x:si>
    <x:t xml:space="preserve">A0R4H0_p5_adjacent</x:t>
  </x:si>
  <x:si>
    <x:t xml:space="preserve">cryo-EM structure reanalysis; MOLE; APBS</x:t>
  </x:si>
  <x:si>
    <x:t xml:space="preserve">Five-fold minor pore; electrostatic charges vary with modeled pH.</x:t>
  </x:si>
  <x:si>
    <x:t xml:space="preserve">A0R4H0_tdNfsB_p5_wide</x:t>
  </x:si>
  <x:si>
    <x:t xml:space="preserve">recombinant WT shell loaded with engineered tdNfsB in E. coli</x:t>
  </x:si>
  <x:si>
    <x:t xml:space="preserve">cryo-EM; local refinement</x:t>
  </x:si>
  <x:si>
    <x:t xml:space="preserve">9FNA</x:t>
  </x:si>
  <x:si>
    <x:t xml:space="preserve">Zmyslia et al. 2025</x:t>
  </x:si>
  <x:si>
    <x:t xml:space="preserve">10.1039/D4CB00127C</x:t>
  </x:si>
  <x:si>
    <x:t xml:space="preserve">Paper-defined open conformation; 8.2 Å was measured for the icosahedrally averaged model, not independently for the isolated open state.</x:t>
  </x:si>
  <x:si>
    <x:t xml:space="preserve">A0R4H0_tdNfsB_p5_narrow</x:t>
  </x:si>
  <x:si>
    <x:t xml:space="preserve">cryo-EM; local refinement; MoleOnline</x:t>
  </x:si>
  <x:si>
    <x:t xml:space="preserve">9FN9</x:t>
  </x:si>
  <x:si>
    <x:t xml:space="preserve">Paper-defined closed conformation retains a 4.62 Å aperture; His188 loop displacement.</x:t>
  </x:si>
  <x:si>
    <x:t xml:space="preserve">K5BEG2_p5</x:t>
  </x:si>
  <x:si>
    <x:t xml:space="preserve">EncMh</x:t>
  </x:si>
  <x:si>
    <x:t xml:space="preserve">recombinant cargo-free WT EncMh expressed in E. coli</x:t>
  </x:si>
  <x:si>
    <x:t xml:space="preserve">X-ray crystallography</x:t>
  </x:si>
  <x:si>
    <x:t xml:space="preserve">Lončar et al. 2020</x:t>
  </x:si>
  <x:si>
    <x:t xml:space="preserve">His187–Gly188–Tyr189 and Arg197 line the pore; sulfate bound at its entrance.</x:t>
  </x:si>
  <x:si>
    <x:t xml:space="preserve">K5BEG2_p2a_large</x:t>
  </x:si>
  <x:si>
    <x:t xml:space="preserve">Larger intersubunit pore (Fig. S6).</x:t>
  </x:si>
  <x:si>
    <x:t xml:space="preserve">K5BEG2_p2a_small</x:t>
  </x:si>
  <x:si>
    <x:t xml:space="preserve">Smaller intersubunit pore (Fig. S6).</x:t>
  </x:si>
  <x:si>
    <x:t xml:space="preserve">A0AAT8XUH9_p5</x:t>
  </x:si>
  <x:si>
    <x:t xml:space="preserve">KpEnc shell</x:t>
  </x:si>
  <x:si>
    <x:t xml:space="preserve">recombinant WT KpEnc coexpressed with cognate KpDyP in E. coli BL21(DE3);
 DyP-loaded</x:t>
  </x:si>
  <x:si>
    <x:t xml:space="preserve">cryo-EM; MOLEonline; electrostatic analysis</x:t>
  </x:si>
  <x:si>
    <x:t xml:space="preserve">8U50</x:t>
  </x:si>
  <x:si>
    <x:t xml:space="preserve">Jones et al. 2024</x:t>
  </x:si>
  <x:si>
    <x:t xml:space="preserve">Relatively neutral electrostatic potential at the pore midpoint.</x:t>
  </x:si>
  <x:si>
    <x:t xml:space="preserve">A0AAT8XUH9_p3</x:t>
  </x:si>
  <x:si>
    <x:t xml:space="preserve">Q2RVS0_EncFtn_p5_open</x:t>
  </x:si>
  <x:si>
    <x:t xml:space="preserve">recombinant WT Enc coexpressed with cognate EncFtn in E. coli; EncFtn-loaded</x:t>
  </x:si>
  <x:si>
    <x:t xml:space="preserve">cryo-EM; symmetry expansion; focused refinement</x:t>
  </x:si>
  <x:si>
    <x:t xml:space="preserve">9S05</x:t>
  </x:si>
  <x:si>
    <x:t xml:space="preserve">McIver et al. 2026</x:t>
  </x:si>
  <x:si>
    <x:t xml:space="preserve">10.1016/j.jsb.2026.108357</x:t>
  </x:si>
  <x:si>
    <x:t xml:space="preserve">Focused open 5-fold conformation; a second, paper-defined closed conformation was resolved (9RZU).</x:t>
  </x:si>
  <x:si>
    <x:t xml:space="preserve">sequence_link_id</x:t>
  </x:si>
  <x:si>
    <x:t xml:space="preserve">protein_accession</x:t>
  </x:si>
  <x:si>
    <x:t xml:space="preserve">nucleotide_accession</x:t>
  </x:si>
  <x:si>
    <x:t xml:space="preserve">cds_start</x:t>
  </x:si>
  <x:si>
    <x:t xml:space="preserve">cds_end</x:t>
  </x:si>
  <x:si>
    <x:t xml:space="preserve">strand</x:t>
  </x:si>
  <x:si>
    <x:t xml:space="preserve">cds_length_nt</x:t>
  </x:si>
  <x:si>
    <x:t xml:space="preserve">source_nucleotide</x:t>
  </x:si>
  <x:si>
    <x:t xml:space="preserve">source_database</x:t>
  </x:si>
  <x:si>
    <x:t xml:space="preserve">genomic_sequence</x:t>
  </x:si>
  <x:si>
    <x:t xml:space="preserve">Q1D6H4_seq1</x:t>
  </x:si>
  <x:si>
    <x:t xml:space="preserve">WP_026114001.1</x:t>
  </x:si>
  <x:si>
    <x:t xml:space="preserve">NC_008095.1</x:t>
  </x:si>
  <x:si>
    <x:t xml:space="preserve">-</x:t>
  </x:si>
  <x:si>
    <x:t xml:space="preserve">https://www.ncbi.nlm.nih.gov/nuccore/NC_008095.1?report=genbank&amp;log$=seqview&amp;from=4140372&amp;to=4141235</x:t>
  </x:si>
  <x:si>
    <x:t xml:space="preserve">NCBI RefSeq</x:t>
  </x:si>
  <x:si>
    <x:t xml:space="preserve">MXAN_3556 is an old locus tag; current RefSeq locus tag: MXAN_RS17240</x:t>
  </x:si>
  <x:si>
    <x:t xml:space="preserve">ctagcgacgt tccgtggcgc cggcgccctc cagcgtgcag atggcgtccg ggtgcttgat gcgcagcagc agcgcctcca gcacgcggaa cgggtggttc atcctcgacg cgcccaggta cgccgccacc atgtccatgg acactgcgag gtccatgttc tcccggccgg tggacaccac cacgccggac tccccgcgca ggcggttgga ctggtagacg ccgtccgacg cgagctggcg gatggtctca atctccagta cgcccgtctt ctcgtagatg cggtgcagct gcgagtacag ccgcggcgag agcacgacgg cgtaggggcc gaagtggccc tgctcgttga gcttgcgcgt ggcctcgacg atggcctgga aaccgccacc cggcgacgtc cagtcaccca gcggcaccgt gagccggccg ttggccgtca tcaggccttc gtagcccagg cgcgcgtcgc cgtagaagat gagttcgtct tcctgctgcg cgcacagcgc ggcggcgcct gcggcggccg acacgtccag tggcatgttg tgcgtgcgcg cggcctcgat gtcgcgccag tgcagcagga agtccttgta gatgatgggg atggtcttga acttgcgagc atcggtgaag accatcgcgg tctcctgctc gccgacgatg tccacggcgc cgggtgaaac gccctggaac tcgtcgtagg gaaccgtctg caccccggcg cccagcggcc cgtagatgtc caggatgcgc cggcccacca gcgaacgccg ggcgacctgg atgacagtct cgttcagacg cgcccactcc tcttcgcgga gcgggttctc ggcatgtcca aggaagtcag gcat</x:t>
  </x:si>
  <x:si>
    <x:t xml:space="preserve">Q9WZP2_seq1</x:t>
  </x:si>
  <x:si>
    <x:t xml:space="preserve">WP_004080898.1</x:t>
  </x:si>
  <x:si>
    <x:t xml:space="preserve">NC_021214.1</x:t>
  </x:si>
  <x:si>
    <x:t xml:space="preserve">https://www.ncbi.nlm.nih.gov/nuccore/NC_021214.1?report=genbank&amp;log$=seqview&amp;from=808697&amp;to=809494</x:t>
  </x:si>
  <x:si>
    <x:t xml:space="preserve">Current RefSeq locus tag: TMARI_RS04015; historical locus tag: TM_0785</x:t>
  </x:si>
  <x:si>
    <x:t xml:space="preserve">tcagaacttt agaagaatca aggcctccgg gttgacaacc tggaaggtga acgtctccgt tatgaaaagc ctcaccgcgt ctttttccct gtcttcgtac cctatcgaga gatcctgtcc aaggatcaat ttgaaatccc ctccacgctc agaaacgacg agggcatcct cgattctcgg tgtggttatg atcttgccac ccctgaggca ttcttccact ctcttctcga gggggtaatg ccctgcctct tccttcagga agttgatcca tctgtccgtg tttatgacga gtgtgtaagg gccctctata ccatcttttg agaagatcga aagagccctc actatggctt cgaggaggtc tttcggtgtg cttccacatt cgattttcct ctcttcgaag gaaagaaggc ctttaacacc cgatttttca catcctctga atatcacttc gtcttcaaat tccgcaacct ttctcaccgt ttcttctaag ctggaaagat ccacgttcgg ttttcctctc tcgaggttgt cgagttccca cagatcgaga gtgaacgttg ccctcagttc gatgagcggc agagacttcc tcaatcccca cttcaccact tcgttctcgt ctgaaagcac ctcaacttcc ccgagtggat gggcagcgta ctcccagccg tagggacctt ccacatcgac gaatttcctt ccgtagagct gtgttttgaa gatctctctt gctctgttgt ctatctcctg ccactgtttt tctgtcagag gagcaaagga tcttttcaga aattccat</x:t>
  </x:si>
  <x:si>
    <x:t xml:space="preserve">I6WZG6_seq1</x:t>
  </x:si>
  <x:si>
    <x:t xml:space="preserve">NP_215313.1</x:t>
  </x:si>
  <x:si>
    <x:t xml:space="preserve">NC_000962.3</x:t>
  </x:si>
  <x:si>
    <x:t xml:space="preserve">https://www.ncbi.nlm.nih.gov/nuccore/NC_000962.3?report=genbank&amp;log$=seqview&amp;from=891472&amp;to=892269</x:t>
  </x:si>
  <x:si>
    <x:t xml:space="preserve">Historical gene-specific accession: Y12820; corresponding complete-genome INSDC accession: AL123456.3. Both refer to the same H37Rv cfp29 locus represented here by RefSeq NC_000962.3.</x:t>
  </x:si>
  <x:si>
    <x:t xml:space="preserve">ttagtggctg agcgcgaccg acgcctcggc ggtgtagcaa aggaacgtca gcgtctcctg caggtagagg cgcacggtgt ccgtgtcgtg gctggcgtac ccgattgcaa cgtcggtgcc cagctgtagg tcgaagtcgc cgcctcgagt ggtcagcacg aacgcgccgt cgatggccgg ggcccaaatg atgtccccgt ccaccagccg gttcagatgc tcacggatgg gatagccgtg atcggaagtc tcgctaacct tggtgtagac gtcagcagag agcaacaccg aatacggtcc gtccacaccg gccaaccgca gttcggacaa tgcctgggag atgacatcag ggatttcacg gggatcctcg ggcaacgtca gcgccgggtt cgaactcgcg ctgcggatcc cttcgattga tgcggcgctg tagccttcga atattgtgcg gtcctcgacg aaggccagct tcttggccgc ctcctttacc ggttcccaat cggagtcctt agagccacgt tccacgtcgt cgatctcgtt gcgcgacagg gtaaacggaa cccgtagccg gacaaggggt ttgctggccc gcaggtgggc gatcacgccg ttggttggtg ccttaacatc gatcagccgg ccggtgctga ccgccgcggt gacgggcccc ccgggatcac tgacatcgac cacccggcgc ccggcgatgt gtcgcttgaa cgtccgcgcc gcctccaatt cgatttccgc ccaagcggct tcggtgaccg gtgccaaatc gcggtagaga ttgttcat</x:t>
  </x:si>
  <x:si>
    <x:t xml:space="preserve">A0A0F5HPP7_seq1</x:t>
  </x:si>
  <x:si>
    <x:t xml:space="preserve">WP_039238471.1</x:t>
  </x:si>
  <x:si>
    <x:t xml:space="preserve">NZ_JWIQ02000107.1</x:t>
  </x:si>
  <x:si>
    <x:t xml:space="preserve">https://www.ncbi.nlm.nih.gov/nuccore/NZ_JWIQ02000107.1?report=genbank&amp;log$=seqview&amp;from=3505&amp;to=4353</x:t>
  </x:si>
  <x:si>
    <x:t xml:space="preserve">UniProt A0A0F5HPP7 includes multiple strain designations; this nucleotide record corresponds specifically to the QY95_01592 locus in NZ_JWIQ02000107.1.</x:t>
  </x:si>
  <x:si>
    <x:t xml:space="preserve">ttattcttcc ggatcaatca gcgtgcaaat agccgctggg cgtttaattc gaaggacgac agtttcatac actcggaagg ggtggttcat tccttcttct cctagataag ctgtttcaaa atcttctgaa atagctaaat caaggttgtt gcgccctgta ttgacgatca ccccagactt tcctttcagt acaggtgact ggaacacacc ggctgtaatc agctcgcgta catgctcgat ctctagtaca tttgtatctt tatgtacacg gtgtagaaga gagtacagct ctggggataa tacaagtgca taggggccgt tatggttcat ttcaagtaat ttgtttcttg cttcaacgat gtcttgaaag gcgtttccag actcgtacca attgccaatt aaatgagtca agcggccttt gacattcatt aatccaggaa tatcgaattc cttggaaccg tgaaaaatca tctgatcctc tagaaaagcc acatcacgag ctgcattggc agcaacggaa aagtcaatcg gtatgtctag tgctttagac tgctccaagt cgcgccaata cagtacaaaa tccttgtaaa gcataggaat agtatagttg acgcgtctgc tggattctac ttccgtatca aaagagcctt gaaagtccat ttttgcttca tggctctcca taaagatatc attaaataca ctttgcattc ctcttccaag cggtccatat aactcgataa agcggcggcc gactaactga cggcgggctg cttcaatgac ggtctgatca agctggttga aatcctggtc tgttaatgga gaatctggat aaagctgcga tttattcat</x:t>
  </x:si>
  <x:si>
    <x:t xml:space="preserve">D0LZ74_seq1</x:t>
  </x:si>
  <x:si>
    <x:t xml:space="preserve">WP_012828935.1</x:t>
  </x:si>
  <x:si>
    <x:t xml:space="preserve">NC_013440.1</x:t>
  </x:si>
  <x:si>
    <x:t xml:space="preserve">+</x:t>
  </x:si>
  <x:si>
    <x:t xml:space="preserve">https://www.ncbi.nlm.nih.gov/nuccore/NC_013440.1?report=genbank&amp;log$=seqview&amp;from=5285325&amp;to=5286125</x:t>
  </x:si>
  <x:si>
    <x:t xml:space="preserve">atggatctac tcaagcgaca tctcgccccc atcgttcccg acgcctggtc cgccatcgac gaagaggcca aggagatttt tcagggacac ctggccggcc gcaagctggt cgatttccgc ggccccttcg gctgggagta cgcggccgtc aacaccggcg agctgcgtcc catcgacgac acgcccgagg acgtggacat gaagctgcgc caggtgcagc cgctcgccga ggtgcgggtg ccgttcacgc tcgacgtcac cgagctcgac tccgtggccc gcggcgccac caaccccgac ctcgacgatg tcgcccgcgc cgccgagcgc atggtcgagg ccgaggattc ggccatcttc cacggctggg cgcaggccgg catcaagggc atcgtcgact cgacgccgca cgaggccctt gccgtggcca gcgtcagcga cttcccccgg gccgtgctct cggccgccga cacgctgcgc aaggccggcg tcaccgggcc ctacgctctg gtcctcggcc ccaaggccta cgacgacctg ttcgcggcca ctcaggacgg ctaccccgtg gccaagcagg tgcagcgcct ggtggtcgac ggcccgctgg tgcgcgccaa cgcgctcgcc ggcgcgctgg tgatgtcgat gcgcggcggc gactacgagc tgaccgtggg ccaggatctg tccatcggct acgccttcca cgaccgcagc aaggtcgagc tattcgtcgc cgagtcgttc accttccgcg tgctcgagcc cggcgccgcc gtgcacctgc gctacgcctg a</x:t>
  </x:si>
  <x:si>
    <x:t xml:space="preserve">Q55032_seq1</x:t>
  </x:si>
  <x:si>
    <x:t xml:space="preserve">WP_011055154.1</x:t>
  </x:si>
  <x:si>
    <x:t xml:space="preserve">NC_004073.2</x:t>
  </x:si>
  <x:si>
    <x:t xml:space="preserve">https://www.ncbi.nlm.nih.gov/nuccore/NC_004073.2?report=genbank&amp;log$=seqview&amp;from=26975&amp;to=27895</x:t>
  </x:si>
  <x:si>
    <x:t xml:space="preserve">ttagttgtag cgataggtgt ggtactgagt gacatcgacg ttgtccagca ccgctaacgc atcgtccgtc agcaccgcca gcgagcagta gagcgacacc aaatagctgg ctaaggcttt gcgattaatg cccataaaac gtaccgataa acccatgccc tgctcacccg gcagattggg ttgataaaga cccacaacgc cctgccgact ttcccccaca cgcaggagca ggattttggt cttgccattc tccagtggca ctttgtccga cggaatcagt ggcacgcctc gccaagtgat gaatgaggag ccgaacagag aaaccgtggc aggcggaact cctcggcgtg tgcattcccg accaaaagct gcgatcgcct gcggatgagc caggaaaaag gccggctctt tccaaacgcg aatcaagagc tcatccagat catctggtgt tggtgcacca ttgcgggtgt ggactaattg ccctggtgcc acattattca gcagtccata ttcgcggcta ttgatcagct cgctttcctg ccgctccttc ataatctcga tcgtcagccg caactgctca cggatttgat cgtggggatt gctgtataga tctgagatgc gggtatggac atccactacc gtattgacgg cgctgagcaa atactcgcgg ggattatcga tgtaatcgac aaaggtttcg ggcagctctg actcatctcg ttccgagcag gccaccgtaa tctgcgaagc gtctttaact tggttgacgc ggtagatacc cgcttccact ggcgtccagt gcaacagccg caccaaccac cggggggtaa tggtgcgaag ctgcggaacg gttttggtcg cgttggctaa ctggcgtgca gcaacatcac gcaacgctaa ctgcggggcg ttatcagtca t</x:t>
  </x:si>
  <x:si>
    <x:t xml:space="preserve">Q8U1L4_seq1</x:t>
  </x:si>
  <x:si>
    <x:t xml:space="preserve">Q45296_seq1</x:t>
  </x:si>
  <x:si>
    <x:t xml:space="preserve">WP_101555098.1</x:t>
  </x:si>
  <x:si>
    <x:t xml:space="preserve">NZ_CP026734.1</x:t>
  </x:si>
  <x:si>
    <x:t xml:space="preserve">https://www.ncbi.nlm.nih.gov/nuccore/NZ_CP026734.1?report=genbank&amp;log$=seqview&amp;from=23313&amp;to=24113</x:t>
  </x:si>
  <x:si>
    <x:t xml:space="preserve">gtgaataacc tctatcgcga gcttgccccc atccccggcc cggcctgggc ggagatcgag gaggaggctc gacggacatt caaacgcaat atcgccggcc gccggatcgt cgatgtcgca gggcccacgg gcttcgagac ctccgcggtg accactggcc acatccgaga cgtccagtcg gagacgagcg gactgcaggt taagcagcgc atcgtgcagg aatacatcga gctgcggacc ccattcaccg tgactcggca ggccatcgat gacgtggccc gcgggtccgg tgactcggac tggcagcccg tcaaggatgc ggccacgacg atcgcgatgg ctgaagatcg ggccattctc cacgggctcg atgcggccgg gatcggcgga atcgttcccg gcagctcgaa tgccgcagtg gccatccccg acgccgtcga ggacttcgcg gacgccgtcg cccaggcgct gagtgtgctg cgcacggtgg gagtcgacgg gccctacagc ctgttgctct cctccgcgga gtacaccaag gtctccgagt ccaccgacca cggctacccg atccgcgagc acctctcccg gcagctcggc gccggagaga tcatctgggc gcccgcgctc gaaggggcgc tgctcgtctc cacgcgcggg ggtgactacg agctccacct cggccaggac ctgtcgatcg gttactacag ccacgacagc gagaccgtcg aactctatct gcaggagacc ttcggattcc tcgcgctgac cgacgaatcc agtgtgcctt tgagcctctg a</x:t>
  </x:si>
  <x:si>
    <x:t xml:space="preserve">K7RV67_seq1</x:t>
  </x:si>
  <x:si>
    <x:t xml:space="preserve">WP_015069749.1</x:t>
  </x:si>
  <x:si>
    <x:t xml:space="preserve">NC_019395.1</x:t>
  </x:si>
  <x:si>
    <x:t xml:space="preserve">https://www.ncbi.nlm.nih.gov/nuccore/NC_019395.1?report=genbank&amp;log$=seqview&amp;from=1107336&amp;to=1108130</x:t>
  </x:si>
  <x:si>
    <x:t xml:space="preserve">tcagaccagc gccaccgcgg cgtcgggctg gtggacccgg aaggtgaagg actcctcgag atacagggtg acggtctgcg cgtcatggga caggtagccg atcgagacgt cgcggcccag gaagaggcac gagtccccgc cccgcctcga gaccaccagc gcgcaccggg cggccggcgc ccacagcacc tcgccgcccg acagcagctg ggtgaggtga tcgacgaccg ggacgccgtg gtcggtggtc tccgagacct gcgtgtagag ctgttggggc agcaccaggt cgtagggccc ctcgacgtcg gccagccgca ggacattgca ggcgccggag acggcgtcgt cgatctgctc gagctcggcg ggcatctgga cgggctggtg caccgacgcc tcgctgagcc cggtgatccc ggcctcctcc cagccgtgca ggatcgcggt gtcctcggtg tcgaccagct tggcgacggc gtcgtcgaca gggtcccagg tgagatcgac ggccccgcgc tcgacgtcgt cgatatcggc gcgcgagacg gtgaacggca cgcggacctg aacgagcggc tggacgcggt acacgctggt ctggacgccg tcggtctgcg agccggtctc gagatggccc aggctcaccg agcccagggt cgggccggcg ggctcgggga cgtcgacgac gcgacgcccg gcggcccgca gcgagaaggt gtcgcgggcc tcgtcgtcga tctgcttcca ggccgcctcg gatatcgggg cgagttcacg gtgcaggttg ttcat</x:t>
  </x:si>
  <x:si>
    <x:t xml:space="preserve">A0A1G9WS71_seq1</x:t>
  </x:si>
  <x:si>
    <x:t xml:space="preserve">WP_092074293.1</x:t>
  </x:si>
  <x:si>
    <x:t xml:space="preserve">NZ_FNHB01000008.1</x:t>
  </x:si>
  <x:si>
    <x:t xml:space="preserve">https://www.ncbi.nlm.nih.gov/nuccore/NZ_FNHB01000008.1?report=genbank&amp;log$=seqview&amp;from=73938&amp;to=74774</x:t>
  </x:si>
  <x:si>
    <x:t xml:space="preserve">gtggactttt tagatcgcaa cgctgcgccg ctgaatgaag gcgaatggca gcgtattgat gaagctgttg tcagcactgc ccgccgtacc ttggtagccc ggcggatcat tgatgtcctg ggaccgcttg gttcgggcgt gtatagcatt ccttactcgg tctttagcgg aaaatccccg acaggaattg atatggttgg ggaaaatgaa gaatttgtcg ttgaagccag ccggcgggcg acgattaatt tacctatttt gtataaagat tttaaaatta tgtggcggga tgttgaagct gaccggcatt tgggcttgcc gattgatgta agcactgccg ccgttgccgg caactttgtc gctgtgcagg aagatcatct gatttttaac ggcaatgtcg aattggggca tgatggcctg tttactgtaa aagaccgtca gactgtagcg atcagtgact ggaatgaaac cggcgccgct ctggccgatg tggtcaaggc agtcggtgct ttaagtcagg ctggtcatta cgggccttat gccatggtag taagccccgt gctgtttggc cggatgatca gagtgtttgg caataccggc atgctcgagc ttgatcaggt caaagcgctc atcaccggcg gggttcatta ctctaatgtc atcggcggtt ccaaggccgt agtggtcgcc accggctcgc aaaacctcaa tctcgccctg ggtcaggata tggtaaccgc ctacatgggt ccgaccagca tgaatcatgt attccgcgta ctggaaacag cagctctcct ggtacgccgt ccggacgcca tctgtacaat cgaataa</x:t>
  </x:si>
  <x:si>
    <x:t xml:space="preserve">A0R4H0_seq1</x:t>
  </x:si>
  <x:si>
    <x:t xml:space="preserve">WP_003897233.1</x:t>
  </x:si>
  <x:si>
    <x:t xml:space="preserve">NC_008596.1</x:t>
  </x:si>
  <x:si>
    <x:t xml:space="preserve">https://www.ncbi.nlm.nih.gov/nuccore/NC_008596.1?report=genbank&amp;log$=seqview&amp;from=5897635&amp;to=5898432</x:t>
  </x:si>
  <x:si>
    <x:t xml:space="preserve">atgaacaacc tctatcgcga cctcgccccg atcaccgaat ccgcttgggc cgagatcgaa ctggaggcga cccgcacgtt caagcgtcac atcgccggac gccgggtggt cgacgtcagc gggcccaacg gtccgacgac cgcgagcgtc agcacgggtc atctgctcga cgtgagcccg cccggcgacg gcgtcatcgc gcatcttcgc gatgccaaac cgctcgtgcg cctgcgggtg ccgttcacgg tggcgcgcag ggacatcgac gacgtcgagc gcggctcgca ggactccgac tgggatccgg tcaaggacgc cgccaagaag ctcgcgttcg tcgaggaccg cgcgatcttc gagggctatg ccgccgcgtc gatcgagggc atccgcagtt ccagctccaa ccccgcgctc gcactgcccg acgacgcccg cgagatcccc gacgtgatcg cccaggccct ctccgagctg cgtctggccg gtgtcgacgg gccctactcg gtgctgctct cggccgagac ctacaccaag gtcagcgaga ccaccgcaca cggatatccg atccgcgagc acatcaaccg cctcgtcgac ggtgagatca tctgggcgcc cgcgatcgac ggtgcgttcg tgttgtcaac gcgcggcggt gatttcgacc tgcagctcgg caccgacgtg tccatcggct acctgtccca tgacgccgag gtggtccacc tctacatgga ggagaccatg acgttcctgt gctacaccgc tgaggcctct gtcgcgctga ccccctga</x:t>
  </x:si>
  <x:si>
    <x:t xml:space="preserve">I3E3I1_seq1</x:t>
  </x:si>
  <x:si>
    <x:t xml:space="preserve">WP_003348282.1</x:t>
  </x:si>
  <x:si>
    <x:t xml:space="preserve">NZ_ADWW01000003.1</x:t>
  </x:si>
  <x:si>
    <x:t xml:space="preserve">https://www.ncbi.nlm.nih.gov/nuccore/NZ_ADWW01000003.1?report=genbank&amp;log$=seqview&amp;from=304005&amp;to=304853</x:t>
  </x:si>
  <x:si>
    <x:t xml:space="preserve">ttactctccc ccgtcttcta atgtacatat ggcagaaggg cgtttaatcc gtaaaacaac cgtttcatac acacggaaag gatggttcat tccttcttct cccaaatatg ctgtatcaaa atcctctgaa acagcaagat ccagattatt tcgccctgta ttgacgagga ctcccgtttt tccttttaga accggggttt ggaacacccc atctgtaaca agctcacgaa catgctcaat ttctaaaacg ttcgtatctt tatgtacacg gtgcaacaat gaatataact ctggtgataa aacaagagca aacggcccat tatgtttcat ctcaagtaat ttgtttcttg cttccactac atcttgaaaa gcgtttcctg attcgtacca atttcctatc aagtgtgttg atcggccttt tacattcatt aaaccgggaa tatcaaattc ctttgatccg taaaaaatca tctggtcctc taatattgcc acatcacggg cagcgtttgc tgctgcggaa aaatcaatag ggatatctaa aacttttgcc tgttctaaat cacgccaata tagaacgaaa tctttgtaaa gtaatgggat tgtgtaattt acccgtttac tagtctcgat gtctgtatca aatgatcctt gaaaatccat ttttgcttca tagttttcaa taaatacgtc attaaaaata ctctgtattc ctcttccaag cggaccgtac aattcgataa aacggcgtcc aatcaattgt ctacgtgcag tgtcaatgac tgtttgatct aattgtgaga aatcttgatc tgttaatggt gaatctggaa atagttgagt cttgcccat</x:t>
  </x:si>
  <x:si>
    <x:t xml:space="preserve">K5BEG2_seq1</x:t>
  </x:si>
  <x:si>
    <x:t xml:space="preserve">WP_005630281.1</x:t>
  </x:si>
  <x:si>
    <x:t xml:space="preserve">NZ_AMRA01000102.1</x:t>
  </x:si>
  <x:si>
    <x:t xml:space="preserve">https://www.ncbi.nlm.nih.gov/nuccore/NZ_AMRA01000102.1?report=genbank&amp;log$=seqview&amp;from=66801&amp;to=67598</x:t>
  </x:si>
  <x:si>
    <x:t xml:space="preserve">atgaacaacc tgtatcgcga actcgcgccg gtcaccgatg ccgcgtggca tgagatcgag accgaggcca tccgcacgtt caagcggcac atcgccggcc ggcgcgtcgt cgacgtcagc gagcccagcg gcccggtgac ggccgcggtc agcaccggtc atctgcgcga tatcagcccg cccggcgacg gggtggtcgc gcatctgcgg gagagcaaac cgctggtgcg cctgcgggtg ccgttcaccg tcacccgcag cgcgatcgac gacgtcgagc ggggatcgca ggactccgac tgggacccgg tcaaggcggc cgccaagaag ctggcgttcg tcgaggaccg cgcgatcttc gaggggtacc cggcggcgca gatcgacggc atccgccagt gcacgtcgaa tccggtgctg cagttgcccg acgatgcccg cgacatcacc gacgtgatcg cccaggcgct gtcggagctg cggctcgcgg gtgtggacgg gccgtactcg gtgctgctgt cggcggaggt ctacaccaag gtcagcgaga ccaccgagca cggctatccg atccgcgagc acctcaaccg actggtcgac ggcgacatca tctgggcgcc cgcgatcgac ggggcgttcg tattgtcaac gcgcggaggc gatttcgatc tgcggctggg caccgacgtt tcgatcggtt acctgtcgca cgacgccgag accgtgcagt tgtacctcga ggagacgctg acgttcttgt gctacacctc cgaggcctcg gtcgccctca cgccctag</x:t>
  </x:si>
  <x:si>
    <x:t xml:space="preserve">A0AAT8XUH9_seq1</x:t>
  </x:si>
  <x:si>
    <x:t xml:space="preserve">WP_152135172.1</x:t>
  </x:si>
  <x:si>
    <x:t xml:space="preserve">NZ_WERP01000028.1</x:t>
  </x:si>
  <x:si>
    <x:t xml:space="preserve">https://www.ncbi.nlm.nih.gov/nuccore/NZ_WERP01000028.1?report=genbank&amp;log$=seqview&amp;from=6806&amp;to=7612</x:t>
  </x:si>
  <x:si>
    <x:t xml:space="preserve">tcaatcttca gaaggcagta atgatacaac ggcttctgaa gtgagcgttc tgaaagtaaa actttcctgc agatacagct cgacatgtgt agctgtatgg ctcaggtaac caattgaaat atcctggccg atatccatcg caaaatcacc accacgggtc gataacaaca ctcccccttc aatcgccggc gcccagacaa tctcgccatc gataagacgg tggatatgct gtaatacagg atatccgtct tcatttccac tggtaatcaa tgtataggca ttttcaccca acaccagatg gtagggacca ttcactcccg caactcgtaa ctgatccagc gcccgagcga tgacatcggg atatcctgat gcagcgacag gtagcgtcag aggagaattg ctggattgcg gccggatgcc accaataccg gccgccgcgt agccatcaaa aacagcacgg tcttcagctc cggcaatttt acgggccgct tcttttagcg gggaccagtc cgaatcctgg gaccctcgct caacatcatc aattgcctgg cgtgttaata taaacggcac cctgaattca accactggct gcgactgacg tttcacggcc cccacactat caccaggccc ctccaggcgg gtcacatggc cggtcccaac ggccgaaaat gcagggccct gagggtcgga tacatccacg acacgtcgtg cggcaaggaa acgtttaagt gtgcggctcg cctcttcttc aatctgttcc catgcagcat cagaaacggg cgcgagttca cgatgtaaat tattcat</x:t>
  </x:si>
  <x:si>
    <x:t xml:space="preserve">A5IJ00_seq1</x:t>
  </x:si>
  <x:si>
    <x:t xml:space="preserve">WP_011942839.1</x:t>
  </x:si>
  <x:si>
    <x:t xml:space="preserve">NC_009486.1</x:t>
  </x:si>
  <x:si>
    <x:t xml:space="preserve">https://www.ncbi.nlm.nih.gov/nuccore/NC_009486.1?report=genbank&amp;log$=seqview&amp;from=138776&amp;to=139573</x:t>
  </x:si>
  <x:si>
    <x:t xml:space="preserve">atggaatttc tgaaaagatc ctttgctcct ctgacagaaa aacagtggca ggagatagac aacagagcaa gagagatctt caaaacacag ctctacggaa ggaaattcgt cgatgtggaa ggtccctacg gctgggagta cgctgcccat ccactcgggg aagttgaggt gctttcagac gagaacgaag tggtgaagtg gggattgagg aagtctctgc cgctcatcga actgagggca acgttcactc tcgatctgtg ggaactcgac aacctcgaga gaggaaaacc gaacgtggat ctttccagct tagaagaaac ggtgagaaag gttgcggaat ttgaagacga agtgatattc agaggatgtg aaaaatcggg tgttaaaggc cttctttcct tcgaagagag gaaaatcgaa tgtggaagca caccgaaaga cctcctcgaa gccatagtga gggctctttc gatcttctca aaagatggta tagagggccc ttacacactc gtcataaaca cggacagatg ggtcagcttc ctgaaggaag aggcagggca ttaccccctc gagaagagag tggaagaatg cctcaggggt ggcaagatca taaccacacc gaggatcgag gatgccctcg tcgtttccga acgtggagga gatttcaaat tgatcctcgg acaggatctc tcgatagggt acgaagacag agaaaaagac gcggtgaggc ttttcataac ggagacgttc accttccagg ttgtcaaccc ggaggctttg attcttctaa agttctga</x:t>
  </x:si>
  <x:si>
    <x:t xml:space="preserve">B1L7S2_seq1</x:t>
  </x:si>
  <x:si>
    <x:t xml:space="preserve">NC_010483.1</x:t>
  </x:si>
  <x:si>
    <x:t xml:space="preserve">https://www.ncbi.nlm.nih.gov/nuccore/NC_010483.1?report=genbank&amp;log$=seqview&amp;from=137480&amp;to=138277</x:t>
  </x:si>
  <x:si>
    <x:t xml:space="preserve">atggaatttc tgaaaagatc ctttgctcct ctgacagaaa aacagtggca ggagatagac aacagagcaa gagagatctt caaaacacag ctctacggaa ggaaattcgt cgatgtggaa ggtccctacg gctgggagta cgctgcccat ccactcgggg aagttgaggt gctttcagac gagaacgaag tggtgaagtg gggattgagg aagtctctgc cgctcatcga actgagggca acgttcactc tcgatctgtg ggaactcgac aacctcgaga gaggaaaacc gaacgtggat ctttccagct tagaagaaac ggtgagaaag gttgcggaat ttgaagacga agtgatattc agaggatgtg aaaaatcggg tgttaaaggc cttctttcct tcgaagagag gaaaatcgaa tgtggaagca caccgaaaga cctcctcgaa gccatagtga gggctctttc gatcttctca aaagatggta tagagggccc ttacacactc gtcataaaca cggacagatg gatcaacttc ctgaaggaag aggcagggca ttaccccctc gagaagagag tggaagaatg cctcaggggt ggcaagatca taaccacacc gagaatcgag gatgccctcg tcgtttctga gcgtggaggg gatttcaaat tgatccttgg acaggatctc tcgatagggt acgaagacag ggaaaaagac gcggtgaggc ttttcataac ggagacgttc accttccagg ttgtcaaccc ggaggccttg attcttctaa agttctga</x:t>
  </x:si>
  <x:si>
    <x:t xml:space="preserve">C0ZVK4_seq1</x:t>
  </x:si>
  <x:si>
    <x:t xml:space="preserve">WP_020909834.1</x:t>
  </x:si>
  <x:si>
    <x:t xml:space="preserve">NC_012490.1</x:t>
  </x:si>
  <x:si>
    <x:t xml:space="preserve">https://www.ncbi.nlm.nih.gov/nuccore/NC_012490.1?report=genbank&amp;log$=seqview&amp;from=6469849&amp;to=6470643</x:t>
  </x:si>
  <x:si>
    <x:t xml:space="preserve">tcacgcaagt gagacaacgg cttcgctggt gtacatgagg aacgtcatcg attcctggaa gtacagctcg acggagttcg catcgtgcga gaggtaaccg atggacaggt cctggcccag atgcagctcg tagtcaccac cacgcgtcga cagcaggaaa gcgccgtcga tggccggggc ccagatgatc tcgccgtcga gaacgcgtcg caggtgctcg cggatggggt agccgtgatc ggaggtctcg ttgatcgcgg tgaacgcgtc ggcgttcagg agcaatgagt acggtccgtt gacaccggcc aggcgcagcg acgtgatcgc ctggctgatg gcttccgggt agtccttggc gtcgatgggg agcttcaatt ccgggttgga accgctcgcc cgcacgccgg tgatgctggc tgcggggtat ccctcgaaga tggcgcggtc ctcggcgaac gcgatctgct tggcggcatc cttgaccggc tgccagtcgg agtccttggc gccgcgctcg acgtcgtcga tggcctgacg gctgacggtg aacgggaccc gcagttcgat gaccggctgc gactgacgag cgtgtgcgat gacgccgtcg gccaagggat tgatcggcac ctgatgtccg agcgggatgg ccgcaagatc gtcacccgac gggccctcca cgtccaccac acgacgaccg gcgacgtggc gcttgaaggt acggctcgcc tcttcttcga tctcggccca ggctgctgcc gaaatgggtg ctaggtcgcg gtgcaggttt gtcat</x:t>
  </x:si>
  <x:si>
    <x:t xml:space="preserve">I3NID5_seq1</x:t>
  </x:si>
  <x:si>
    <x:t xml:space="preserve">WP_003872495.1</x:t>
  </x:si>
  <x:si>
    <x:t xml:space="preserve">NC_002944.2</x:t>
  </x:si>
  <x:si>
    <x:t xml:space="preserve">https://www.ncbi.nlm.nih.gov/nuccore/NC_002944.2?report=genbank&amp;log$=seqview&amp;from=2349935&amp;to=2350858</x:t>
  </x:si>
  <x:si>
    <x:t xml:space="preserve">tcacttgtac tcatggaact gatccaccgc gacgtcgtcg agcacggcga gcgcgtcatc ggtcaggacg gccagggagg tgtacagcgt gaccaggtag gtcgcgatcg ccgactggtt gatgccggtg aaccgcaccg acagccccgg cgcctgctcc ccgaccaggc cgggctggaa cagcccgacg acgccctgac gttcctcgcc ggtgcggacc aggatgaact tcgtcttgcc gtcctccacc ggcaccttgt ccgacgggat cagcggaata ccgcgccagg tgatgaactg ggcgccgaac aggctcacca ccggcggcgg caccccccgg taggtggcct cgcgcccgaa cgccgcgatg cccagcgggt gggtcaggaa gaaactgggc gtcttccaca ccttggtgat cagcgcgtcg aggtcgtcgg gcgtgggagc cccggccagc gtctggatcg tctgctccgg cgtcgcctgg gccagcagcc catactcggg gctgttgatc agctccagct cctggcgctc cttgatggtc tcgatggtca gccgcagctg ctgggcgatc tgatcgtgcg ggctcgagta caggtcggag acccgggtgt ggatgtcgac cagcgtggaa atgctgcgca gcgtgtactc gcgcgggctg gtctcgtagt ccacataggt ctgcggtagc ggctcttcac tgccggcgcc ggcctcggcc ttgatggcga cctgctcggg attgaccacc cggttcaccc ggtagatgcc cgcctccacc ggaacccagt tcagcaggtg cagcagccag cgcggcgtga tcgtcgagag ctgggggacg gtcttggttg cgttggcgag ttgcctggca gccagatcac caagtgcttg agactcattt tgagccgacg tcat</x:t>
  </x:si>
  <x:si>
    <x:t xml:space="preserve">P46841_seq1</x:t>
  </x:si>
  <x:si>
    <x:t xml:space="preserve">WP_010907959.1</x:t>
  </x:si>
  <x:si>
    <x:t xml:space="preserve">NC_002677.1</x:t>
  </x:si>
  <x:si>
    <x:t xml:space="preserve">https://www.ncbi.nlm.nih.gov/nuccore/NC_002677.1?report=genbank&amp;log$=seqview&amp;from=998972&amp;to=999895</x:t>
  </x:si>
  <x:si>
    <x:t xml:space="preserve">atgacgtcgg ctcagaatga gtctcaggca ctcggcgatc ttgctgccgg gcaactagcc aacgcgacaa aaactgtacc 
acagctctca actattacgc cgcgttggtt gctgcatttg ctcaactggg ttccggtgga agcgggtgtc tatcgggtga accgcgtggt caaccccgag cgggttgcag tcaaagccga ggctggcgcc ggcaccgagg caccgctgcc ggagaccttc gtcgactacg agaccagtcc gcgggaatac acgctgcgca cgatttcgac gttgctagat attcacacac gggtgtcgga tctatactcc agcccacatg accagattac ccaacaactg cggctgacca tcgagaccat caaggaaagg caggagtgcg agctggtcaa cagtcccgag ttcgggttgc tcgcgcaggt gactccggag cagacgatcc ggacttttgc cggtgctccc acgcccgacg accttgacgc actgattacc aaggtctgga agatgccgag ctttttcctg acgcatccgc agggcatcgc cgcgttcggc cgcgaggcca cctaccgtgg tgtgccgccc gtagtcgtga gcctgttcgg cgcacagttc atcacctggc gtggcattcc gctgatcccg tcggacaaag tcccggtgca ggacggtgaa accaagttca tcttggtgcg cactggtgag gaacgtcagg gcgtggttgg gctgttccaa ccgggcttgg tcggtgagca ggcgccggga ctgtcggtgc ggttcactgg catcaaccag gcagcgatcg cgacctactt ggtcaccctc tacacgtcct tggctgtcct cactgacgat gcgttggctg tgcttgacaa cgtagctgtg gatcagttcc atgagtacaa gtga</x:t>
  </x:si>
  <x:si>
    <x:t xml:space="preserve">Q2RVS0_seq1</x:t>
  </x:si>
  <x:si>
    <x:t xml:space="preserve">WP_011388729.1</x:t>
  </x:si>
  <x:si>
    <x:t xml:space="preserve">NC_007643.1</x:t>
  </x:si>
  <x:si>
    <x:t xml:space="preserve">https://www.ncbi.nlm.nih.gov/nuccore/NC_007643.1?report=genbank&amp;log$=seqview&amp;from=1159249&amp;to=1160091</x:t>
  </x:si>
  <x:si>
    <x:t xml:space="preserve">atgaacgatc tgatgcgtga cttggcgccg atctcggcca aggcctgggc ggaaattgaa acggaagcgc gcgggaccct gacggtcacc ctggcggcgc gcaaggtggt ggacttcaag ggaccgctgg gctgggacgc ctcgtcggtg tccttggggc ggaccgaggc tttggccgag gagcccaagg cggcgggaag cgccgccgtg gtcacggtgc gcaagcgcgc cgttcagccg ctgatcgagc tctgcgtgcc tttcactttg aagcgcgccg agttggaggc gatcgcccgc ggcgcgtcgg atgccgatct tgatccggtg atcgaggccg cccgcgccat cgccatcgcc gaggaccgcg ccgtgttcca cggcttcgcc gccggcggca tcaccggcat cggcgaagcc tcggccgagc atgccctgga tctgcccgcc gacctcgccg atttccccgg cgtgctggtg cgcgctctgg cggtgctgcg cgatcgcggc gtcgatggcc cttacgccct ggtgctgggc cgcaccgtct atcagcagct gatggaaacc accacgccgg gcggctatcc ggtgcttcag cacgtgcgcc ggctgttcga aggcccgctg atctgggccc cgggtgtcga tggcgcgatg ctgatcagcc agcgcggcgg cgatttcgaa ctgaccgttg gccgcgattt ctcgatcggc tatcacgatc acgacgccca gtccgtgcat ctttatctgc aagaaagcat gaccttccgc tgccttggcc ccgaagccgc cgtgccgctg cgtggcctgt cccaggccgc caccaaggca taa</x:t>
  </x:si>
  <x:si>
    <x:t xml:space="preserve">Q48899_seq1</x:t>
  </x:si>
  <x:si>
    <x:t xml:space="preserve">AAC18618.1</x:t>
  </x:si>
  <x:si>
    <x:t xml:space="preserve">U43835.1</x:t>
  </x:si>
  <x:si>
    <x:t xml:space="preserve">https://www.ncbi.nlm.nih.gov/nuccore/U43835.1</x:t>
  </x:si>
  <x:si>
    <x:t xml:space="preserve">INSDC/GenBank</x:t>
  </x:si>
  <x:si>
    <x:t xml:space="preserve">No RefSeq nucleotide/protein cross-reference is provided for Q48899 in 
UniProt; the original INSDC/GenBank record U43835 and translated protein AAC18618.1 are used instead.</x:t>
  </x:si>
  <x:si>
    <x:t xml:space="preserve">cacgaaagga tcacgatgac gtcggctcaa aatgagtctc aagcacttgg tgatctggct gccaggcaac tcgccaacgc aaccaagacc gtcccccagc tctcgacgat cacgccgcgc tggctgctgc acctgctgaa ctgggttccg gtggaggcgg gcatctaccg ggtgaaccgg gtggtcaatc ccgagcaggt cgccatcaag gccgaggccg gcgccggcag cgaagagccc gtaccgcaga cctatgtgga ctacgagacc agcccgcgcg agtacacgct gcgcagtatt tccacgctgg tcgacatcca cacccgggtc tccgacctgt actcgagccc gcacgatcag atcgcccagc agctgcggct gaccatcgag accatcaagg agcgtcagga gctggagctg atcaacagcc ccgagtatgg cctgctggcc caggcgacgg gaaggcagac gatccagacg ctggccgggg ctcccacgcc cgacgacctc gacgcgctga tcaccaaggt gtggaagacg cccagtttct tcctgaccca cccgctgggc atcgcggcgt tcgggcgcga ggccacctac cggggggtgc cgccgccggt ggtgagcctg ttcggaccga cccagttcat cacctggcac ggtatccggc tcccgtcgga caaggtgccg gtggaggacg gcaagacgaa gttcatcctg gtccgcaccg gcgaggaacg tcagggcgtc gtcgggctgt tccagcccgg cctggtcggg gagcaggcac cggggctgtc ggtgcggttc accggcatca accagtcggc gatcgcgacc tacctggtca cgctgtacac ctccctggcc gtcctgaccg atgacgcgct ggccgtgctc gacgacgtcg cggtggatca gttccatgag tacaagtgag taccgagcgg tagacgccga aa</x:t>
  </x:si>
  <x:si>
    <x:t xml:space="preserve">Q743F5_seq1</x:t>
  </x:si>
  <x:si>
    <x:t xml:space="preserve">WP_003875791.1</x:t>
  </x:si>
  <x:si>
    <x:t xml:space="preserve">https://www.ncbi.nlm.nih.gov/nuccore/NC_002944.2?report=genbank&amp;log$=seqview&amp;from=653470&amp;to=654267</x:t>
  </x:si>
  <x:si>
    <x:t xml:space="preserve">tcacgaggtc agcgggacgg cggcctcggc ggtgtagcac aagaaggtca gcgtctcctg caggtacagc tgcacggtgt ccgcgtcgtg actggtgtag ccgatcgaca cgtcggtccc gagttgcagg tcgaagtcgc cgccgcgggt ggtcagcacg aaagcaccgt cgatggccgg cgcccagatg atgtcgccgg gaaccagccg gtcgatgtgt tcgaggatcg gatagccgtg ttcggtggtc tcgctgacct tggtgtagac gtcggcggac agcagcaccg agtaggggcc gtcgacaccg gccagccgga gttcggagat cgcctgggtg atcacgtccg gaatctcgcg ggggtctgcc ggcagggcca gcggcttgtt cgagctggcc gaacggatgc cgtcgatcga cgcggccgcg tagccctcga agatggcccg gtcttccacg aacgccaact tcttggcggc ctccttgacc ggatcccagt ccgagtcgtt ggcgccgcgc tcgacgttgt cgatctcgta acgcgacaag gtgaacggaa cccgcagccg gacaaggggt ttgctggccc gcaggtgggc caccacaccg ttggtgggtg cctcgacgtc gatcagtcgg ccggtgctga ccgccgcggc ggccggaccg ccgggctcgc tcacgtcgac cacccgccgg ccggcgacat ggcgcttgaa ggtccggctg gcctccaatt cgatttcacc ccaagcggct tcggtgaccg gtgccagatc gcggtagagg ttgttcat</x:t>
  </x:si>
  <x:si>
    <x:t xml:space="preserve">A0A0M0F5E2_seq1</x:t>
  </x:si>
  <x:si>
    <x:t xml:space="preserve">WP_231581840.1</x:t>
  </x:si>
  <x:si>
    <x:t xml:space="preserve">NZ_KQ435291.1</x:t>
  </x:si>
  <x:si>
    <x:t xml:space="preserve">https://www.ncbi.nlm.nih.gov/nuccore/NZ_KQ435291.1?report=genbank&amp;log$=seqview&amp;from=197821&amp;to=198681</x:t>
  </x:si>
  <x:si>
    <x:t xml:space="preserve">tcagcgcgtg aggtggacgg acgcctcggc ggtgtaggtc tggaacgtga gcgaggcgag caggtagagg cgcacctcgt cggcggtgtg gtcgaggtag ccgatggaca cgtcctgccc gatcgtcagc tcgtggtccc cgccgcgcgt ggtgagcagg tagccgccgc gcagcgcggg cgcccacacg atgtctcgct gcaccatgcg ctcgagctgc tcgcggatcg ggtacccgtg gtcgcgggtc tcggacaccg cggtgtacag gtcggcgtcg agcacgagcg cgtacggtcc ctccaccccc gcgaggcgca gctcggtctg cgcggccgcg acggcgtccg gcagatcgcg cgggtcggtg gggaccgcga tcggggggtt gtccgacccg ggaccgatgc cgcggatccc ggcggccgcg tacccctcga acacggcgcg gtcctcggcg cgtgcgagcg cggtggccgc gtccttgacg ggctgccagt ccgagtcctt ggagcctcgc gcgacgtcgt cgaccgcctg ccgggacacc gtgaacggca cctggagctc gacgagcggc acgacgtcgc gcaggcgcgc ccggatgccg tcgtgcggcg cctcgacgtc ggtgacgtgg cccgtccggg cggacgccgt gccgaagccg agcgggcccg tcacgtcgac cacgcgccgc ccggcgacgt tgcgcacgaa cgtgcgccgc gcctcgtcgg cgatctcctc ccacgccgcg tcggtgacgg gcgcgagcca gcggtgcagg ttcgagtccc cgggcgcgcc ggcgccgctc gtggggacga ccgagcccag gtccggttcc gaggtgctca c</x:t>
  </x:si>
  <x:si>
    <x:t xml:space="preserve">A0A1H8IZ71_seq1</x:t>
  </x:si>
  <x:si>
    <x:t xml:space="preserve">WP_089972676.1</x:t>
  </x:si>
  <x:si>
    <x:t xml:space="preserve">NZ_FOCQ01000020.1</x:t>
  </x:si>
  <x:si>
    <x:t xml:space="preserve">https://www.ncbi.nlm.nih.gov/nuccore/NZ_FOCQ01000020.1?report=genbank&amp;log$=seqview&amp;from=1189&amp;to=2046</x:t>
  </x:si>
  <x:si>
    <x:t xml:space="preserve">atggataaag tcacgcgttt cccggaagtt ccatttaacg aagaacaatg ggagtcttta gagacgactg tgattgaaag cgccagaagg caactggtcg gaagacgatt tatcgatatt tacggcccgc tgggcgaagg cgttcagaca gtagtgaatg acatctttga gagaccggaa acggggaaac tcagcctgca cggggaggtt ccggatctgt cccagcccac gggtcgcgtc aatttgacca tccccatgtt gtacaaggat tttattttgt actggcgcga cattcaacaa agcaaatcca tggatattcc gattgatttt tcaccggccg ccaatgccgc ccagcaatgt gccctgctgg aagacgactt gattttcaac ggctccgatc aatttaacct tcccggcctg atgaacgtta aaggaaggtt aacccacatt cgcagcgatt ggatgaaatc aggcaacgcc ttcaccgatg tggtggaagc aaggaataaa ttattaagca tgggccacag cggtccatat gctctggtgg tgtctccttc tctctatgct ttattgcacc gtgtgcacga aggaacgcat gtcctggaaa tcgagcatgt ccgcgaatta atgacggacg gaatttatca gtcccctgtg atttccggtg aggccggggt tgtcgtagcc accggaaggc aaaacctcga tctggccatt gccgaagact ttgacaccgt ttttcttgat gttgaaaaca tgaattacct gttccgggtg tatgaagctc tcgtccttcg aattaaacgc ccgagcgcca tttgcacgtt ggaggatccg gagggcaaca ccaagtga</x:t>
  </x:si>
  <x:si>
    <x:t xml:space="preserve">A0A1I3S7Z3_seq1</x:t>
  </x:si>
  <x:si>
    <x:t xml:space="preserve">WP_093230618.1</x:t>
  </x:si>
  <x:si>
    <x:t xml:space="preserve">NZ_FORR01000012.1</x:t>
  </x:si>
  <x:si>
    <x:t xml:space="preserve">https://www.ncbi.nlm.nih.gov/nuccore/NZ_FORR01000012.1?report=genbank&amp;log$=seqview&amp;from=18492&amp;to=19349</x:t>
  </x:si>
  <x:si>
    <x:t xml:space="preserve">atggataaaa taacacgttt tccggaagca ccctttgatg ccgatcaatg ggaatcttta gaggcgactg ttattgaaag cgccagaaga caattagtcg gaagaagatt tattgatatt tatggaccgc ttggtgaagg agttcaaacg gttgttaatg atatctttga aagaccggaa atgggtaatc tgagtctgca tggtgaagta tcaggtcttt ccctttctac aagccgtgtc aatcttacca ttcccatgtt gtataaggat tttattttgt actggcgtga cattcaacaa agcaaatctt tagatattcc gattgatttt tcgccagctg caaatgctgc tcaacaatgt gcactgctag aagacaactt gatttttaac ggatccaatc aatttaatct gccagggctg atgaacgtca aaggacgatt aacccacatt cgcagcgatt ggatgaagtc aggcaatgct ttctcggatg tggtggaagc aaggaataaa ttattaagca tgggacatac cggacccttt gctttagtgg tctccccgtc tctttatgct ttattgcacc gtgttcacga aggaacccat gtcctcgaaa ttgaacatgt tcgcgaatta gtaacggatg gcgtttatca atctcctgtg atttctggtg aagctggtgt tgtcgtagct acaggcagac aaaaccttga tcttgcgatt gccgaagact ttgataccat ttttcttgat acagaaaata tgaactatct atttcgtgtc tacgaatccc ttgttcttcg tattaaacgg ccaagcgcca tttgtacatt agaagatccg gatggtaaaa gcaaatag</x:t>
  </x:si>
  <x:si>
    <x:t xml:space="preserve">A0A1M7LGP9_seq1</x:t>
  </x:si>
  <x:si>
    <x:t xml:space="preserve">WP_084098969.1</x:t>
  </x:si>
  <x:si>
    <x:t xml:space="preserve">NZ_FRCR01000012.1</x:t>
  </x:si>
  <x:si>
    <x:t xml:space="preserve">https://www.ncbi.nlm.nih.gov/nuccore/NZ_FRCR01000012.1?report=genbank&amp;log$=seqview&amp;from=28955&amp;to=29830</x:t>
  </x:si>
  <x:si>
    <x:t xml:space="preserve">gtgaagggag gaagcgcgga aattccgcga aaaattatgg ctgattattt aaatcgctct caatcacccc ttaccgaaga gcaatgggaa agcatggaga aagtcgttgt agagacggca aagaagcatt tgataggcag gaggttccta agcctctacg ggcccctggg agcgggagtt caatacctcg actttaaggc ttatgcggga gactttaaag cggtggtaga ctttgtgggc gacggggacg aaggtacatt atattctccc tcaaggcaaa taaagcagat tccgatgata tataaggact ttaaaatcga atggcgtgac ctggaaactt atgctgcaca aggactccct atggacacga ctgcagccgc aatgagcgcc gctttcgtcg cagaaatgga agacgacctc atattcaatg gtagtcctca attcggcata gaaggactcc tcacggcaca ggggaggtct ttcatcaaaa tcggaaattg ggatgaagaa gtctctgctt atgaggacat actcaaagcg gcagaaaccc tttcggccaa gggcttccgc gagccttacg ccttagtgtt aagcccgaag ctgtattcga aattacttaa gccctacaaa aacacccaat atttagagat agacctggta agaaaggctg ttactgaatg catatataaa tctcctgtta ttaagggtga taaggcggta ctcatctcaa tcgatgctga gtacgtggat ttagcagtgg cgcaagatat caccttagca ttcctagaga catcgaaaat gaatcattac tttagggtat ttgaactcgt catgccgagg attaaagtcc cggctgcaat atgcacgata gagtga</x:t>
  </x:si>
  <x:si>
    <x:t xml:space="preserve">A0A1Q8Q3M0_seq1</x:t>
  </x:si>
  <x:si>
    <x:t xml:space="preserve">WP_075398990.1</x:t>
  </x:si>
  <x:si>
    <x:t xml:space="preserve">NZ_MSDU01000027.1</x:t>
  </x:si>
  <x:si>
    <x:t xml:space="preserve">https://www.ncbi.nlm.nih.gov/nuccore/NZ_MSDU01000027.1?report=genbank&amp;log$=seqview&amp;from=29299&amp;to=30153</x:t>
  </x:si>
  <x:si>
    <x:t xml:space="preserve">ttattcatcg tctttcggat cagcgaatgt gcagatcgca gacggacgct taatgcgaag gacagccgtc tcaaacacgc ggaatggatg gttcattcct tcttcgccaa ggtaagctgt ttcaaagtct tctgaaatcg ccaggtcaag attattacgg cctgtgttta ccagtacacc tgtcttgcct ttcagcacag gtgactgaaa aaccccgtct gtcacaagct cacgcacatg ttcaatctcc agcacattcg tatcgcggtg aacccggtgc agcaatgcat atagctcagg tgacagcacg agcgcatatg ggccgttatg gttcatttcc attagctttc cacgcgcctc tacgacatcc tggaatgcag tgccggattc ataccagttg ctgattaaat gtgtctggcg gccctttaca ttcatcagtc ccggaatatc gaactgcttt gcgccgtgga aaatcatttc atcttccaga agagccacat cgcgcgccgc gttcgcagcg gaggaaaaat ccatcggaat atccagcgtt tttgcctgtt caatatcgcg ccagtataaa acaaaatctt tatacaaaag cggaatcgtg taattaacgc gtttcgctga ttcgatttcc gtatcaaacg atccttgaaa gtccatatgg gcttcgcttt tttcagcata aatatctgtg tggatgcttt gtacgccacg gccgagcgga ccgtacaatt caataaagcg tcgtcctgtc agctgttttt tcgccgcatc gataatgacg cggtccaatt cgtcaaaatc acctgctgat agtggcgcat ccggatataa ttgagcttta ttcat</x:t>
  </x:si>
  <x:si>
    <x:t xml:space="preserve">A0A2I0SNU0_seq1</x:t>
  </x:si>
  <x:si>
    <x:t xml:space="preserve">WP_103550563.1</x:t>
  </x:si>
  <x:si>
    <x:t xml:space="preserve">NZ_JBHJSK010000014.1</x:t>
  </x:si>
  <x:si>
    <x:t xml:space="preserve">https://www.ncbi.nlm.nih.gov/nuccore/NZ_JBHJSK010000014.1?report=genbank&amp;log$=seqview&amp;from=92783&amp;to=93661</x:t>
  </x:si>
  <x:si>
    <x:t xml:space="preserve">tcagaccgtg tccccgtccc tttccccgtc cgtaccggtc cacgggtcga gcgccaccac ggcctcgtcc gtgtggacga ggaacgtcag ggtctggcgg aagtacaggt cgatgccggt ggcgtcgtgg gcggtgtaac cgatggcgag atcctcgccg aggcgcagtt cgtagtcgcc gccccgggtg gtgagcagga aggcgccctc cacggcgggc gcccagatca gccggccgtc gagcagccgg ccgaggtggg cggcgacggg gtagccgtgg tcggaggtct cgctgaccgc cgtgtacgcc tccgcgccca gcagcagcgc gtacgggccc tgcaccccgg ccagccggag ggtgctcagg gcacggctga cggcgtccgg gaagtcgcgc ggctccgcgg gaaggctgag cacggggttg gaggtgcggg cgcggagacc gtcgacacgg gcctctgcgt atccgtcgaa gacggtccgg tcctcggcga acgccatggt gcgcgccgcg tccttgaccg gctgccagtc ggagtccttg gcaccccggt ccacgtcgtc gacggcgtcg cggctcaccc ggaacggcac cgtcagctcg accaggggct ggacctggcg cagccgggcc gcgacaccgg gcgacggccc gtcgatgcgg gacaggtgac cggtccccac ggcggcgagc gcgggaccgt cggggcccgt gacgtccacg acacggcggc cggcgaggtt gcgccggaag gtccggcgcg cctcgtcctc gatctcggcc cacgcggcgg gcgtgacggg ggcgagttca cggtgcaggt tgccggtccc ggcagctccg gcggcggtgt cctcgggggt ggtcgtcat</x:t>
  </x:si>
  <x:si>
    <x:t xml:space="preserve">A0A2T2X7V6_seq1</x:t>
  </x:si>
  <x:si>
    <x:t xml:space="preserve">UniProtKB entry removed; sequence retained in UniParc as UPI000D43B0E4. No nucleotide/RefSeq cross-reference has yet been unambiguously recovered for locus C7B43_05800.</x:t>
  </x:si>
  <x:si>
    <x:t xml:space="preserve">A0A4R6RVW8_seq1</x:t>
  </x:si>
  <x:si>
    <x:t xml:space="preserve">TDP91083.1</x:t>
  </x:si>
  <x:si>
    <x:t xml:space="preserve">SNXZ01000009.1</x:t>
  </x:si>
  <x:si>
    <x:t xml:space="preserve">https://www.ncbi.nlm.nih.gov/nuccore/SNXZ01000009.1?report=genbank&amp;log$=seqview&amp;from=73818&amp;to=74696</x:t>
  </x:si>
  <x:si>
    <x:t xml:space="preserve">ctactcggtg agcgcgacga cggcgtcggg ctcgacgacc cggaaggtga agctctcctc gaggtagagg tgcgcggtgt cggcgtcgca gtggctgtag cccacggaga tgtcctggcc caggtgcagc tggaagtgcc cctcgtcgag gctcaccacg agcgcgccgg tcagcccggg ggagcgcacg accttgccgc cgccgaggat gcggcgcagg tggtcgagca ccagcagccc gccgtgctcg gtgctctcca cgatccgctc gtacccggcg ggcccgatgg ccagcgcgta cgggccaccg atgcccgcgt tgcgcagcgt gtcgacggcc ttggccgcca cctgcgggta ctccgtcggg tccgcgccca gcggcaggcc ccggtgggtg gagctgtcga cgaggccggt gatgtcggcc cccgcccacc cgtggaagac cgcgcggttc tccagcagcg ccagctcacg ggcggcccgg ccgaggtcgt cgaggtcgag gtcgtccgcg ccgcgctcgg cgttctccag ctcgacccgg gacaccgtga acggcacccg gacctcggcc agcgccagca cgtgccgcaa ccgcagccgc acgccctcac cggtctcacc cgcggtggtc tggtcgagcg ggcgcacccg gccgaggttc accgacgaga agtcccagcc gtgcggaccg gagacgtcca cgagccggcg ggcagcgagg ttgggcgcga gccgggaccg ggcctcgtcg tcgatctgct cccaggccgc cccggtgatc ggggcgagct cgcgcatcag gtggttcatg ctcacgccca ccccctcgct gacgctccgg gccggcgtga gccggctcgc tgtgtccat</x:t>
  </x:si>
  <x:si>
    <x:t xml:space="preserve">A0A511V6Y5_seq1</x:t>
  </x:si>
  <x:si>
    <x:t xml:space="preserve">WP_146809005.1</x:t>
  </x:si>
  <x:si>
    <x:t xml:space="preserve">NZ_BJXX01000050.1</x:t>
  </x:si>
  <x:si>
    <x:t xml:space="preserve">https://www.ncbi.nlm.nih.gov/nuccore/NZ_BJXX01000050.1?report=genbank&amp;log$=seqview&amp;from=10864&amp;to=11718</x:t>
  </x:si>
  <x:si>
    <x:t xml:space="preserve">ttatttcccg tcatcagcgt cttcaagtgt acaaatggca cttggacgtt tgattcgaag agcgatggcc tcataaaccc ggaaaaggtg attcatgtgc tcggtatcaa gataggcggt atcaaaatct tcggcgatcg ccaaatccaa gttatgctgg cctgtggcta cgataacacc ggcctttcct ttgatttccg gcgattggaa tacgccgtct gtaattagtt cgcgaatatg ttcaatttct aacacgtttg ttcccggatg aacacgatgg aggagcgagt aaagcgcagg ggacagtacc atcgcgtaag gaccggtatg tcctacttgc tgcagtttgc tgatagcgtc gactacatct tcaaaagctt tgcccggttt catccattca tcgcgaatat gggtgaggcg ccctttcaca ttcattaagc ccggcagctc aaattcggaa aaaccgttga agatgagatt atcctcgagg cgggcgcact ggacagaagc attggccgca gggctcatat cgattggaat tcccagcgtt ttggcctgct caagatcgcg ccagtacaga atgaaatcct tatataacat tgggatggac aaattaaccc ggcgggttga ctgggatagt tccagtgatt ccccgcgcag gctgatcccc ccgctttgcg attcttcaaa gatatcgttg cttacgcttt gaatcccttc acctaaaggg ccgtaaatat cgatgaagcg acgtccgaca agttgtcgtc tggctgtctc gattacggtc gcttccagcc tgctccattc ctgatggctt agcggggagt cagggaattt gcttttttta tccat</x:t>
  </x:si>
  <x:si>
    <x:t xml:space="preserve">A0A5A7NS64_seq1</x:t>
  </x:si>
  <x:si>
    <x:t xml:space="preserve">WP_149957257.1</x:t>
  </x:si>
  <x:si>
    <x:t xml:space="preserve">NZ_BKDJ01000011.1</x:t>
  </x:si>
  <x:si>
    <x:t xml:space="preserve">https://www.ncbi.nlm.nih.gov/nuccore/NZ_BKDJ01000011.1?report=genbank&amp;log$=seqview&amp;from=13748&amp;to=14629</x:t>
  </x:si>
  <x:si>
    <x:t xml:space="preserve">atgagcgcca accatttgct gcgtgagaac gccccgatct ccgaggcagg gtggagcttc ctggaccggg aggctacgtc ccgccttgcc gtggcgctgg gggcacggaa actggtggac ttccacggac cgctgggctg ggagtattcg gccacgccct tggggcgcgt ggagccgttg gccggcccgc aggacggcct gcgggccctt cgccgccggg tgcttccgct ggtggaggtg cgggccgact tcgaggtctc gcgggcggaa ctgatggaca tcgaccgcgg agtcctggac gcctccctgc ccgggctgga tgccgccgcc ctgcgcatcg ccgcggcgga gaacaccgcc gttttccacg gctgggccaa cgccggcatc ctcggcatca ccgaggccac cccccacgaa ccggtaccgc gcgtagagga cttcaacgac taccccaagc gggtggcgca tgcggtgtcc gtcctgcgcc aggcagggat cggaggcccc ttcgggctgg ccctgggccc ggggcactat accgcggtcg tggaggccac cgaacggggc gggtacctgc tctccgagca cctttccacc atcctggaag gccccctcgt gtgggtcccc ggcgtcacag gcgccgtggt ggtgagcctg cgcggcggcg acttccgctt cgaggccggc caggacctgt ccctgggcta ccaggggcac gacgacgact cggtgcacct ctatctcgag gaatcgttca gcttcctggt cgccaccccg gaggccgcca tccacctcag cagcgccgcc ggaagaaccc ggggcggcga cgccggggcg gccggagggg aagcggtccc cgcggaggac ttcgaggact ga</x:t>
  </x:si>
  <x:si>
    <x:t xml:space="preserve">A0A7V9Z0Q3_seq1</x:t>
  </x:si>
  <x:si>
    <x:t xml:space="preserve">WP_181537743.1</x:t>
  </x:si>
  <x:si>
    <x:t xml:space="preserve">NZ_JACDUU010000005.1</x:t>
  </x:si>
  <x:si>
    <x:t xml:space="preserve">https://www.ncbi.nlm.nih.gov/nuccore/NZ_JACDUU010000005.1?report=genbank&amp;log$=seqview&amp;from=62087&amp;to=62938</x:t>
  </x:si>
  <x:si>
    <x:t xml:space="preserve">atggataaag caataatcta ttctgaatct acgttaagta gtgaacaatg gagagagttg gatcaaacag tcatcgatag tgctcggagg caactagtag gcagaagatt tattgatata tatggaccac ttggtgaagg agttcaatcc gttgcgaatg acgtatatga aaaccctgaa agtggggaaa tcagctttca tggtggagaa ctaaatcttt cagagccaac acgtcgtgtg catttgacga ttccgcttat acataaagac tttattttgt attggcgtga tattcaactg gcgaaacagc ttgctagtcc tattgacttt tcagccgctt caaatgctgc tcagcagtgt gcattactag aggatgattt aatttttaat ggatctactc catttgatct tcctgggatt atgaatgtaa aaggaaagat tgctcacata cgtagcgact ggatgaaatc aggaaacgct tttgccgatg tggtggaagc ccgaaataaa ctattgcaac taggacatac aggtccatat gctttagtcc tttcacctga attgtatgct ctcattcata gagttcatga ggggacccat gtactggaaa ttgaacatat tagagagtta atgcctgcag gtatttatca aacaccagtg attaagggca aaagaggtgt agtgattgat gttggaaaac aaaatataga cttagctatt gccgtagatt ttcaaacggt gtttttagat gtcgagaaca tgaattatat tttccgtgtt tatgagtcag ttgtaccgag aataaaacgt ccaagcgcta tctgtacgtt agaagatcca gagggagaat aa</x:t>
  </x:si>
  <x:si>
    <x:t xml:space="preserve">A0A8J8KA31_seq1</x:t>
  </x:si>
  <x:si>
    <x:t xml:space="preserve">WP_173729445.1</x:t>
  </x:si>
  <x:si>
    <x:t xml:space="preserve">NZ_JABTTE010000001.1</x:t>
  </x:si>
  <x:si>
    <x:t xml:space="preserve">https://www.ncbi.nlm.nih.gov/nuccore/NZ_JABTTE010000001.1?report=genbank&amp;log$=seqview&amp;from=100221&amp;to=101072</x:t>
  </x:si>
  <x:si>
    <x:t xml:space="preserve">ttatgatgat tttggatctt caagcgtaca gatcgcactt ggtcgtttaa ttcttggaac aattgtttca taaatgcgga aaagatggtt catttgctct tcgtccatat aagctatatc aaaatcttct gcaatagcta aatcaacatt ttgtcgcccc gttgcaataa gaacgcctgc atctccttta attacaggtg attggtaaac gccatctgtt acaagctcgc gaatatgttc aatttccagc acatttgtac cttggtgaac acgatgcata agggcgtaca attgaggaga aacaattagc gcatatggac cggtatgtcc catttgcatt aatttgttcc tcgcttcgac aatatcttgg aaggcatgtc cggttttctt ccaatcgcca cgaatatgtg taatccgacc tttaacattc attagtcctt taatattaaa ttgttctgag ccgttaaaaa ttaagtcgtc ttctaaaagt gcaagctgtg ttgctgcatt tgcagctgtt gaaaagtcga tgggaatatc gagagttcgt gcatgggcaa tatcacgcca ataaagctta aaatctttat agagaagagg gattgttaaa ttttcacgtt ttactggatt agacacttct aatgtatcac catgtaaact aattgtgcct acatctgatt cttcatatac gtcgttcata atcgcttgca ctccaccgcc aagaggcccg tatatgtcta gaaaacgtct gccgatcaga gtccgtctag catggtggat cacaagttct tgtaagtcat tccattcttt ttcggttaaa ggtgttcctg aatagtgatt tgtcatactc at</x:t>
  </x:si>
  <x:si>
    <x:t xml:space="preserve">A0A938BNS5_seq1</x:t>
  </x:si>
  <x:si>
    <x:t xml:space="preserve">UniProtKB entry removed; sequence retained in UniParc as
 UPI001D8A3635. No nucleotide record has yet been unambiguously recovered.</x:t>
  </x:si>
  <x:si>
    <x:t xml:space="preserve">A0A951QF54_seq1</x:t>
  </x:si>
  <x:si>
    <x:t xml:space="preserve">UniProtKB entry removed; sequence retained in UniParc as
 UPI001D71A671. No nucleotide record has yet been unambiguously recovered.</x:t>
  </x:si>
  <x:si>
    <x:t xml:space="preserve">A0A9Y2KYQ9_seq1</x:t>
  </x:si>
  <x:si>
    <x:t xml:space="preserve">WP_270919989.1</x:t>
  </x:si>
  <x:si>
    <x:t xml:space="preserve">NZ_CP127247.1</x:t>
  </x:si>
  <x:si>
    <x:t xml:space="preserve">https://www.ncbi.nlm.nih.gov/nuccore/NZ_CP127247.1?report=genbank&amp;log$=seqview&amp;from=2732168&amp;to=2733055</x:t>
  </x:si>
  <x:si>
    <x:t xml:space="preserve">atgagcgaaa cgttaaactg gaatgacgat caatggaaca aggtccgcca gaccgttcac gatcaggcgt tgcgcgctcg cgtcgcagct tcgtttctgc ctctgttcgg acctttgccc aacgatgcgc aaatggtgcc gtccaacaca ctgaaatacc acagcccagg ttcggggagc gtcggtcgaa tgcgcattga cgactacacg tcaattcggc tgacttcgct ttccgtgaat gtctatctca agaatgcgca ggtcgctgat cctgaactga ccagcgcgct tatcatgttt cgccgcgccg ccaacattat tgcgcgtgtc gaggatgcaa tcattttcaa cggtcaagaa gacactaacg atggtcccaa gagcgatgcc gggattagta tcgccgataa agtctggcgc gtcagcggcg ggcagaaaac gctgggcctg atcaaggagg gcgaggacgc aaacaagcaa aagattgagc cagacaatga agattctgat acggggcaac aggtatttca tgccgttgtg aacgcgatcc aaaaaatcga gaagcaaggc tatcacggcc cctttgcctg cgtgatgtcc gatagtctat ttactgcgat caccaagcca atgccggcgt cgatgatcct gccgcgtgac agcatcctgc ctttcctcga tgcaccactt ctacgttcca gtgccttgcc cgacggaaag gccattgttg tgtcgcttca cggtgccccg gtcgagattg tcgtccccaa cgacatctcg gtgcgtcacc tgcagacgac ccccgaggca gagcatgtct ttcgggtgca gcaacgtttt gtcctgcgca tcaaagagcc aggagcgatc gcgacaatct tcaagtaa</x:t>
  </x:si>
  <x:si>
    <x:t xml:space="preserve">A0ABN3ZYW6_seq1</x:t>
  </x:si>
  <x:si>
    <x:t xml:space="preserve">WP_011230417.1</x:t>
  </x:si>
  <x:si>
    <x:t xml:space="preserve">NC_016593.1</x:t>
  </x:si>
  <x:si>
    <x:t xml:space="preserve">https://www.ncbi.nlm.nih.gov/nuccore/NC_016593.1?report=genbank&amp;log$=seqview&amp;from=1015578&amp;to=1016432</x:t>
  </x:si>
  <x:si>
    <x:t xml:space="preserve">tcatgctgac tcgttcggat cctcgagcgt gcagatggcg cttggacgtt tgatgcgcgg cacaaccgat tcgtagacac ggaacaagta gttcatgttt tccgtatcta aaaacgcggt ttgcacatcg acggcaacag cgaggtcgat gttttgccgc cctgtgtcaa tgacgacccc gcgtttgcct ttaatgaccg gagtttggta aatgccggcg gtcatcagct cgcggatgtg ctcaatttca agcacgtgcg ttccttcatg gacgcggtgg atcaacgcat acaattccgg cgacaagacg agcgcgtatg ggccggtatg gccgagctga agcagcttgt tgcgtgcttc gacgacgtca gtaaaggcgt tgcccgattt catccaatcg ctgcgaatgt gggcgatttt tcctttgacg ttcataatgc ccggcacatc aaattcagtt gaaccattga aaatcaaatc gtcctcaagc agcgcgcact gctgggcggc gttggcggcg gcggaaaagt cgatcgggct gccgagctgt ttcgcctgtt caatgtcacg ccagtacaaa ataaagtctt tatacaaaag cgggatcgtt aaatgcacgc ggcgcgccgg ctcggaaagg ctcagctctt tgccgtggaa gctcatgtcc ccctgttccg ggttcatata aatatcgttg gcgaccgact ggacaccttc gccgagcgga ccgtacaaat cgataaatcg gcggccgacg agctggcgcc gcgccgtttc aatgaccagt tcgtcaagct cgccccattg gctgcttgtg agcggggctt ctggatacag cttcgtttta tccat</x:t>
  </x:si>
  <x:si>
    <x:t xml:space="preserve">A0ABP7DFF1_seq1</x:t>
  </x:si>
  <x:si>
    <x:t xml:space="preserve">WP_345154340.1</x:t>
  </x:si>
  <x:si>
    <x:t xml:space="preserve">NZ_BAABEO010000034.1</x:t>
  </x:si>
  <x:si>
    <x:t xml:space="preserve">https://www.ncbi.nlm.nih.gov/nuccore/NZ_BAABEO010000034.1?report=genbank&amp;log$=seqview&amp;from=223638&amp;to=224519</x:t>
  </x:si>
  <x:si>
    <x:t xml:space="preserve">gtgagcacca accatttgct gcgggagaac gccccgatct ccgaggccgg gtggcggttc ctggaccggg aagccacgtc ccgcctctcg gtggcgctgg gggcccggaa actggtggac ttcttcggcc cgctgggctg ggagtattcg gccacgccgc tggggcgcgt ggaggccttg gccggtccgc aggagggact gcgtgccctg cgccgccggg tgcttccgct cgtggaggtg cgggccgact tcgaagtatc gcgcgcggaa ctgatggaca tcgaccgcgg ggtcttcgac gcttccctac ccgggctgga cgacgccgcg ctgcgcatcg ctgcagcgga gaacaccgcg gttttccacg gctgggagaa cgccggcatc atcggcatca ccgaggccac gccccacgcg ccggtgccgc gcgtcgagga cttcaatgac tatcccaagc gcgtggcgca cgccgtgtcc gtcctgcgcc aggcgggcat cggaggcccg ttcgggctgg ccttgggccc gggacactac accgccgtcg tcgaggccac cgaacgcgga ggatacctgc tctccgagca cctcaccagc atcctggagg gccccctggt gtgggtgccc ggcatcacgg gcgccgtcgt gctgagcctg cgtggaggcg atttccgctt cgaggccgga caggacctgt ccctgggcta ccaggggcac gacgacgaga ccgtgcacct ctacctggag gaatcgttca gcttcctggt ggccaccccg gaggcggcca tccacctcag gagcgctgac gggggagacc gcggcagcca gcacgcctgg accggggaca aggaggtccc ggaggaggac ttcgaggact ga</x:t>
  </x:si>
  <x:si>
    <x:t xml:space="preserve">A0ABQ6QMW9_seq1</x:t>
  </x:si>
  <x:si>
    <x:t xml:space="preserve">WP_171421589.1</x:t>
  </x:si>
  <x:si>
    <x:t xml:space="preserve">NZ_BTTX01000002.1</x:t>
  </x:si>
  <x:si>
    <x:t xml:space="preserve">https://www.ncbi.nlm.nih.gov/nuccore/NZ_BTTX01000002.1?report=genbank&amp;log$=seqview&amp;from=106982&amp;to=107854</x:t>
  </x:si>
  <x:si>
    <x:t xml:space="preserve">ctaacggcgc gccgggggag cggccggaac ggcgccttcc agcgtgcaga tggcgtccgg gtgcttgatg cgcagcagca gtgactccag cacccggaac gggtggttca tcttgctggc gcccaggtag gccgcgacca tgtccatggc caccgccagg tccatgttct cccggcccgt ggacaccacc acgcccgact cgccgcgcag gcggttggac tggtagacgc cgtcggacgc gagctggctg atggtctgga tctccagcac gcccgtcttc tcgtagatgc ggtgcagctg cgagtagagg cgcggcgaca gcaccacggc gtagggcccg aagtggccgg cctcgttgag cttgcgcgtg gcctccacga tggtctggaa gccgccgccc ggcgccgtcc agtcccccag cgtggcggtg agccggccgt tggccgtcat caggccctcg tagcccaggc gctggtcgcc gtagaagatg agctcgtctt cctgctgcgc gcacagcgcg gcggcgccgg cggcggcgga cacgtccagc ggcatgttgt gcgtgcgcgc ggcctcgatg tcccgccagt gcagcaggaa gtccttgtag atgatcggga tggtcttgaa cttgcgcacg tcggtgaaga ccatcgcggt ctcctgctcc ccgacgatgt ccaccgcgcc cggggacacg ccctggaact cgtcgtaggc cacggtctgc acgcccgcgc ccagcggccc gtagatgtcc aggatgcggc ggcccaccag cgaccggcgc gccacctgga tcaccgtctc gttgaggcgc gcccactcct cttcgcgcag cgggttctcg gcatgtccaa ggaagtcagg cat</x:t>
  </x:si>
  <x:si>
    <x:t xml:space="preserve">A0ABS5L717_seq1</x:t>
  </x:si>
  <x:si>
    <x:t xml:space="preserve">WP_212021334.1</x:t>
  </x:si>
  <x:si>
    <x:t xml:space="preserve">NZ_JAAFYZ010000324.1</x:t>
  </x:si>
  <x:si>
    <x:t xml:space="preserve">https://www.ncbi.nlm.nih.gov/nuccore/NZ_JAAFYZ010000324.1?report=genbank&amp;log$=seqview&amp;from=5600&amp;to=6463</x:t>
  </x:si>
  <x:si>
    <x:t xml:space="preserve">atgaacaacc tgcaccgcga cctcgccccg gtcagcgacg ccgcctggga gcagatcgag gaggaggcgc gccgcaccgt gctgcggtac ctggccttcc ggcgcgtggt ggacgtcagc ggcccggacg gcaccacgct ggcggccgtc ggcgacggcc acaccgcgcc catcgccgcc ccgcacgacg gcgtgcaggc ccggctgcgc agcgccaggc cgctggtcga ggtgcggatc ccgttcgagc tggaccggac cgacatcgac gacgtggagc gcggcgccca ggacagcgac tggcagccgg tgaaggacgc ggccaagatc gccgcgttca ccgaggaccg ggccatcgcc gacggctacg ccgcggccgg gatcaccggc ctgcggccgt tcgccagcaa cgcggcgatg ccgctgccgg cggacccggt ggactacccg accaccgtgg cccggatggc cacccagctg aagctggccg gtgtcgaagg gccctaccac ctggtgctcg gcgccgacgc ctaccaggcg ctgtcggacg cggtggacca cggctacccg gtcgccgagc acgtggcccg gctgatcgac ggcgacgtga tctgggcccc ggcgatcacc ggcggcgtgc tgctgtcctc ccgcggcggc gactaccagc tgcagctcgg gcaggacctg tcgatcgggt acgagtcgca caccgcggac aaggtgcggc tgtacttcac gcagtcgttc acgttcctgc cctacaccgc cgaggccgcg gtgccgctgg gcggcacccc cgccgggctc ggcaccggct cgggcaccgg caaggaaggc aagtccgcta agcggtcgcg gtga</x:t>
  </x:si>
  <x:si>
    <x:t xml:space="preserve">A0ABS9H0C8_seq1</x:t>
  </x:si>
  <x:si>
    <x:t xml:space="preserve">WP_236332668.1</x:t>
  </x:si>
  <x:si>
    <x:t xml:space="preserve">NZ_JAKIJS010000001.1</x:t>
  </x:si>
  <x:si>
    <x:t xml:space="preserve">https://www.ncbi.nlm.nih.gov/nuccore/NZ_JAKIJS010000001.1?report=genbank&amp;log$=seqview&amp;from=1109216&amp;to=1110067</x:t>
  </x:si>
  <x:si>
    <x:t xml:space="preserve">atgaataaag tacagttatt tgcagattca ccattatcag atcaagattg gcaacaacta gatgcgacga ttttcgatag tattaaaaga caactggtag ggcgtaggtt cattgatatt tatgggccat taggagctgg tgtacaaacc gcaactaatg atgtgtatca agaaaaagaa ctcggatcta tgggatacca tggcgaaagt ttagagctta ctgaaccgag taagcgtgta aacttaacga ttccgctact ttataaagat ttcatgttat attggcgcga tattgaacaa gcgaaaacct tagacctacc tgttgatttt tctgtagctg caaatgctgc cgctcagtct gctttacttg aggacgatat gattttcaat ggggcgaaga aatttaacct tgaagggcta atgaatgtga aaggtagact tacacatatt cgcgaggatt ggatgaaatc cggaaatgcg tttatggata tcgttgaagc aagaaataaa ctattgaaga tggggcacag cggaccatat gctcttgttc tctcaccttc gttatatgca ttaattcatc gtgttcatga aggaacacac gtgcttgaaa tcgaacacat tcgagaactt gtgacggatg ggatttatca atctcccgtc attcaggaag attcgggtgt actcatcgca actggaagag aaaacctcga tcttgcaata gctgaagatt tcgattctgc atttatggat acagagaaca tgaactacct attccgtgtt tacgaaagta ctgtccttag aattaagcga ccttctgcaa tttgtacgct tgattcacct acaaaaaagt ag</x:t>
  </x:si>
  <x:si>
    <x:t xml:space="preserve">A0ABT4AA91_seq1</x:t>
  </x:si>
  <x:si>
    <x:t xml:space="preserve">WP_267537354.1</x:t>
  </x:si>
  <x:si>
    <x:t xml:space="preserve">NZ_JAPNKA010000001.1</x:t>
  </x:si>
  <x:si>
    <x:t xml:space="preserve">https://www.ncbi.nlm.nih.gov/nuccore/NZ_JAPNKA010000001.1?report=genbank&amp;log$=seqview&amp;from=7333985&amp;to=7334842</x:t>
  </x:si>
  <x:si>
    <x:t xml:space="preserve">atgcctgact tccttggaca tgccgagaac ccactgcgcg aggacgagtg ggcccgcctc aacgagaccg tcatccaggt cgcccgccgc tcgctcgtcg gccgtcgcat cctggacatc tacggcccgc tgggtgccgg cgtgcagact gtcccccatg acgagtacac cggcgtcagc ccgggcgcgg tggacatcgt cggcgagcag gagacggcct ccgtcttcac cgacgcgcgc aagttcaaga cgatccccat catctacaag gacttcctgc tgcactggcg cgacatcgag gccgcgcgcc tgcacaacat gcccctggac gtctccgccg ccgccggcgc cgccgccctg tgtgcccagc aggaagacga gctcatcttc tacggtgacc ccaagctcgg ccacgagggg ctgatgaacg ccaccggccg cctcaccgtg ccgctcggcg actggaccac ccccggtgcc ggctacctgg ccatcgtcga ggccacccgc cggctcaatg agtcgggcca ctacggcccc tatgccgtcg ttctctcgcc ccgcctctac tcgctgctgc accgcatctt cgagaagacg ggcgtgctgg agatcgagac catccgtcag ctcgcctcgg acggcgtctt ccagtccaac cggctgcgcg gcgactcggg cgtgatcgtc tccaccggcc gcgagaacat ggatctcgcg gtggccatgg acatggtcgc cgcctatctg ggcgcctcgc ggatgaacca ccccttccgc gtgctggagt cgctgatcct ccgcatcaag caccccgact ccatctgcac cctggaatcc gcgccgagcc gcggctag</x:t>
  </x:si>
  <x:si>
    <x:t xml:space="preserve">A0ABT5CZW5_seq1</x:t>
  </x:si>
  <x:si>
    <x:t xml:space="preserve">WP_272134116.1</x:t>
  </x:si>
  <x:si>
    <x:t xml:space="preserve">NZ_JAQNDM010000001.1</x:t>
  </x:si>
  <x:si>
    <x:t xml:space="preserve">https://www.ncbi.nlm.nih.gov/nuccore/NZ_JAQNDM010000001.1?report=genbank&amp;log$=seqview&amp;from=177999&amp;to=178862</x:t>
  </x:si>
  <x:si>
    <x:t xml:space="preserve">atgcctgact ttctgggaca tgccgagaac cccctccgtg aagaggagtg ggcccgactg aacgagaccg tcatccaggt ggcgcgccgc tcgctcgtcg gccgccgcat cctcgacatc tatgggccgc tgggcgcggg cgtccagtcg gtgccccacg acgagtacca gggggtctcc tccggggcca ttgacatcgt cggcgagcag gagaccgcca cggtcttcac cgacgtgcgc aagttcaaga cgatccccat catctataag gacttcctgc tgcactggcg cgacatcgag gcggcccgca tccacaacat gccgctggac gtgtccgccg ccgccggggc cgccgccctc tgcgcgcagc aggaggacga gctcatcttc tacggagacc ccaagctcgg ccacgagggg ttgatgacgg ccaccgatcg cctcacggtc cccctgggtg actgggccac gccgggcgcc ggcttcatgg ccatcgccga ggcctcccgg aagctcaacg agcacggcca tttcggcccc tacgccgtgg tgctctcacc ccggctgtac tccctgctgc accgcatctt cgagaagacg ggcgtgctgg agatcgaaac catccgtcag ctcgcctcgg acggcgtgtt ccagtccaac cgtctccggg gagactccgg cgtggtggtg tccacgggcc gtgagaacat ggacttgacc gtggccatgg acatggtcac cgcctacctg ggcgcctcgc gcatgaacca cccgttccgg gtgctggagg cgctcatcct gcgcatcaag cacccggact ccatctgtac gctcgaagcc cctcccctcg tggtcggcaa gtaa</x:t>
  </x:si>
  <x:si>
    <x:t xml:space="preserve">A0ABU5HDM0_seq1</x:t>
  </x:si>
  <x:si>
    <x:t xml:space="preserve">WP_321550286.1</x:t>
  </x:si>
  <x:si>
    <x:t xml:space="preserve">NZ_JAXIVS010000015.1</x:t>
  </x:si>
  <x:si>
    <x:t xml:space="preserve">https://www.ncbi.nlm.nih.gov/nuccore/NZ_JAXIVS010000015.1?report=genbank&amp;log$=seqview&amp;from=152242&amp;to=153099</x:t>
  </x:si>
  <x:si>
    <x:t xml:space="preserve">atgcctgact tccttggaca tgccgagaac cccctgcgcg aggaggagtg ggcgcgcctg aacgagaccg tcatccaggt cgcgcgccgt tccctcgtgg cccgtcgcat cctggacatc tatggcccgc tgggcgcggg cgtgcagacg gtgccccacg acgagtacca gggcgtgtcc ccgggcgccg tggacatcgt cggcgagcag gagacggcca ccgtcttcac cgacgctcgc aagttcaaga cgatccccat catctacaag gacttcctgc tgcactggcg ggacatcgag gcggcgcgca tccacaacat gccgctggac gtgtcggccg ccgccggcgc cgccgccctc tgcgcgcagc aggaagacga gctcatcttc tacggggatc cgaagctcgg ccacgagggg ctgatgacgg ccaacggccg gctcaccgtg ccgctgggcg actggagcac cccgggcgcc ggctacatgg ccatcgtcga ggccactcgg aagctcaacg agcacggcca ctacgggccc tatgccgtgg tgctctcgcc gcgcctgttc tcgctgctgc accgcatctt cgagaagacg ggcgtgctcg agatcgagac catccgccag ctcgcctcgg acggcgtctt ccagtccaac cggctgcgcg gcgactcggg cgtggtggtg tccacgggcc gcgagaacat ggatctggcc gtggccatgg acatggtcac cgcctacctg ggcgcctcgc gcatgaatca ccccttccgc gtgctcgagg cgctcatcct gcgcatcaag cacccggacg ccatctgcac gctcgaaggc ggcgcccccc gcaagtaa</x:t>
  </x:si>
  <x:si>
    <x:t xml:space="preserve">A0ABU9D8Y7_seq1</x:t>
  </x:si>
  <x:si>
    <x:t xml:space="preserve">WP_341371051.1</x:t>
  </x:si>
  <x:si>
    <x:t xml:space="preserve">NZ_JBBPCO010000008.1</x:t>
  </x:si>
  <x:si>
    <x:t xml:space="preserve">https://www.ncbi.nlm.nih.gov/nuccore/NZ_JBBPCO010000008.1?report=genbank&amp;log$=seqview&amp;from=138203&amp;to=139072</x:t>
  </x:si>
  <x:si>
    <x:t xml:space="preserve">tcagccagac tgctttgggt ggcgtccgac ttcggcgttg gcatcggtgt tgcttgagct ttgttcctgc gtgcctgccg ggcggatggt gcagatcgcg ccgggggcat ccactttcag gaccagggat tcccgtaccg agaagtagaa atgcgcggga tcggccagcg tataatccac atgcaggtcc tcgccgatca gcagggtacc cgcctcgggg ctgagcacga ccgcccccgg catgtcggcc ttgaagatgc cggcggtgca gatctccttg agatgctcgg cctgcaccag atcactgcca tcggggtagc ggcgaaacag caggttgtgc aggcgcggcg ccagcgccag ggcatagggc ccgcgatatc cccgctcatc gagcagggtg acggcgtcga gcacgtcccg gagcacctgt tccacattgc accagtcgcc gccgtccaga tgattgcggc cttccacggt gctcaggccg ggtagtccca gtgcggcatc accttgatag atcagggcct cctcgcgtgc gcagaccgag agcgtggcct ggcgcaccgg ggtcagatcc agcggcatgc cctgttccag atgtgccgcc acctggcggc gacccagcgc gaaacggcgg aagatcaggg ggacgctcag cgagcgggac accacggtga tggcgtcatg atcgttatcg tgatgtcgca ggtcatcatt gccgacctcc agggccgtga atccctcgcc aaagggcccc tccaccggca ggatgcggcg tgcggtcagg acttcccggg cggccgcggc aatgactgtt tccatgcggc ttgcaatgct gtcatcaaag tgcggaatgc tgatctccat</x:t>
  </x:si>
  <x:si>
    <x:t xml:space="preserve">A0ABW2RFE6_seq1</x:t>
  </x:si>
  <x:si>
    <x:t xml:space="preserve">WP_379862820.1</x:t>
  </x:si>
  <x:si>
    <x:t xml:space="preserve">NZ_JBHTBW010000002.1</x:t>
  </x:si>
  <x:si>
    <x:t xml:space="preserve">https://www.ncbi.nlm.nih.gov/nuccore/NZ_JBHTBW010000002.1?report=genbank&amp;log$=seqview&amp;from=42301&amp;to=43158</x:t>
  </x:si>
  <x:si>
    <x:t xml:space="preserve">atggacaaac tacaacgctt tccggatgcg ccttttaatg ctgagcaatg ggaatcttta gagcagacgg tcattgaaag cgccaaaagg caattggtcg gaagaagatt catcgatatt tacgggccgc ttggcgaagg ggtccaaacc gttgtgaatg acatcttcgc aaggccggaa atgggaaatc tgagcctgca tggtgaagag acgggccttt cccagccaac cagccgagtc aaccttacga tccccatgtt gtataaagat tttattttgt actggcgcga catccaacaa agcaaatcga tggacatgcc cattgatttt tcacccgccg ccaatgccgc gcagcaatgc gcactgctgg aagacgacct gattttcaac ggttccaatc tattccacct gccggggctg atgaatgtga aagggcggtt aacccacatt cgcagcgatt ggatgaagtc cggcaacgcg ttctcggatg tggtggaagc aaggaacaaa ttgttaagca tggggcattc cggtccttat gcgttagtgg tgtccccatc gctatacgcc ttgttgcacc gtgtgcacga aggaacccat gtccttgaaa tcgaacacgt tcgcgaattg atgacagacg gcgtgtatca atcccccgtc attaccggcg aagccggcgt cgtcatcgcc acgggtaggc aaaatctcga tctggcgatc gccgaagact ttgacacggt ttttcttgac tatgaaaaca tgaactacct cttccgggtc tatgaatgcc ttgccctccg gattaagcgc ccaagtgcca tttgcacatt ggaagacccc aacggcaaca accagtaa</x:t>
  </x:si>
  <x:si>
    <x:t xml:space="preserve">A0ABY8J3I8_seq1</x:t>
  </x:si>
  <x:si>
    <x:t xml:space="preserve">WFT77053.1</x:t>
  </x:si>
  <x:si>
    <x:t xml:space="preserve">CP121671.1</x:t>
  </x:si>
  <x:si>
    <x:t xml:space="preserve">https://www.ncbi.nlm.nih.gov/nuccore/CP121671.1?report=genbank&amp;log$=seqview&amp;from=3772456&amp;to=3773361</x:t>
  </x:si>
  <x:si>
    <x:t xml:space="preserve">ttagaacttc cctccggcat ttgactcatt cccttcctct tggttgttgc cattttcgag tgtacagatt gccgaaggac gctttatcct tggaacgaga cattccatta ctcggaaata actgttcatg gtctcatcat ttaagaaaga gatagataca tcctgaccaa tggctatatc gacattttgc tcaccagttg ccacgataac cccgcaccca tttcggattt gggatgattg atatattcca tcttcaaaca agttccgaac atgctcaatc tccagcacct ttgaattgcc gtgcacctgg tgcaaccggg cataagcgtc aggcgacaag gccatggcaa aaggccccgt gtgcccgttt ttgatcaagc gattccgagc atctacgata ttttgaaacg ccataccttc ttgacgagac caatcgctgc acttcaaggt ttctctgcca cttacattca ttaatccggg aatgttcagc gatttcgccc cattaaatat cagatcatct tccttcagtg ctacatcatt tgccgcacta gccgccgcgg aaaagtccag cggtttgcct gtttctctcg catgctcgac atcccgccaa tagataacaa agtctttata taatattgga ataaccagag tattactctg gctcggtttt gctacatcca tttcgtctcc atgcatgctt atactcgcag gtttcggttc aagataaacc ggattgctga tcgattgcgc cccagatcca ataggtccat atatatctag aaatctgctc gccacgatat ggtctcgaac tgtttcagtg acggtctccc gcaaatgact ccactgtctc tgcgttaata acccccgcgg agaactacgc cctgattttc tgctcgccac gttcat</x:t>
  </x:si>
  <x:si>
    <x:t xml:space="preserve">A0ABZ0HWD7_seq1</x:t>
  </x:si>
  <x:si>
    <x:t xml:space="preserve">WP_407340804.1</x:t>
  </x:si>
  <x:si>
    <x:t xml:space="preserve">NZ_CP136862.1</x:t>
  </x:si>
  <x:si>
    <x:t xml:space="preserve">https://www.ncbi.nlm.nih.gov/nuccore/NZ_CP136862.1?report=genbank&amp;log$=seqview&amp;from=1743646&amp;to=1744575</x:t>
  </x:si>
  <x:si>
    <x:t xml:space="preserve">atgagcgact gcggaccggg cctgaccgac gatcaatggg aaaagatccg ccagatcgtt catgacgatg ctctacgcgc ccgtgaggcg gcgtcgtttc tgcctctcta tgggccgttg cccggctcaa cggtgaccgt gccgcaggac cgcctttcct tcgagccatt gcccgacggg ctctccggcg aggcgtcgcc ctccgcggcg acgggcgcca cgcaacagta catgcgggtg gatgactacg accagctccg catcgcgacc gtggccgtca atgtgtacct caagaatcat atgatcgcgg atcccgaact ggcggcagcc tccgtcctgt tctcacgcgc cgcgaagatt gtcgcgcggg tcgaggactc gatcatcttc aacggctggc cctcgaacct ccagcatgtg cggccggtct acactatcac gggggcgaac agctatgacg gccttgtcag ccacgcccgc gaatcgtcgc cgcagatcga tgacgcgaac cctggggtgt ttggacctga cgtgttccgc gcagtcgtca gcgcaattgc cgacctcgaa aggcggggtt actacaaacc ctatgcgtgc gttctcgcca acgatctctt tacggagatc aataggccga tccagaactc gatggttctg ccggccgaaa gcatcccgcc cttccttgat gggccactgc tgcggtccag cagtcttcag ctgggaaagg gcctggtgat ctcgctgcaa ggcaatccgg tcgaaatcgt cgtgccgaac gacatttcgg tccgctatct ccaagggatg cttgacggcc agcacgcgtt ccgtattgca cagcgtttcg tgctgcgggt caaggattgg gacgcggtcg ccctcatcca gcgtaaggct cccccctccg gcatcgccgg cgatgcctga</x:t>
  </x:si>
  <x:si>
    <x:t xml:space="preserve">A0A010Z2Q7_seq1</x:t>
  </x:si>
  <x:si>
    <x:t xml:space="preserve">WP_035851135.1</x:t>
  </x:si>
  <x:si>
    <x:t xml:space="preserve">NZ_KK073874.1</x:t>
  </x:si>
  <x:si>
    <x:t xml:space="preserve">https://www.ncbi.nlm.nih.gov/nuccore/NZ_KK073874.1?report=genbank&amp;log$=seqview&amp;from=2980712&amp;to=2981512</x:t>
  </x:si>
  <x:si>
    <x:t xml:space="preserve">gtgaacaacc tgtaccgcga gctcgcaccg atctccgacg ccgcctgggc cgacatcgag accgaggcca agcgcacgtt cacccgccac gtcgccgccc gccgggtcgt cgacgtgctc ggtccgtccg gtgaggagct gtccgccgtc ggcaccgggc acctgaccga actcacggca ccggccgagg gggtgctcgc ccgcaagcgg gtcgtgcagc cgatcgtgga gttccgcgtg ccgttcgtcg tcgaccgcca ggccgtggac gacgtggagc gcggcgcgaa ggactccgac tggcagccgg tgaaggacgc cgcgaaggcg ctggcgttcg ccgaggaccg cgcgatcctc gacgggtacg cggccgcgaa cgtcaccggt ctgcggccgg gcagctcgaa ctccgcgatc gcgctgccgg ccgacgtccg cgaatacccg aacgcggtcg cccaggcgat cacggcgctg cgcctggccg gtgtggacgg cccgtacagc ctcctgctct cggccgaggc ctacaccgcc gtggccgaga ccgccgacca cggctacccg atccacgagc acatcgcccg ggtgctgcgc gacggcgaga tcatctgggc gcccgccatc gacggcgcgg tcgtgctctc cacccgcggc ggcgactacg agctccacct cggccaggac gtgtcgatcg gctacctctc gcacgacgcg aacagcatcg agctgtactt ccaggaatcc ctgacgttca tcgtccagac caccgaggcc gcggtgaacc tcacggcctg a</x:t>
  </x:si>
  <x:si>
    <x:t xml:space="preserve">A0A024K4U0_seq1</x:t>
  </x:si>
  <x:si>
    <x:t xml:space="preserve">WP_036471626.1</x:t>
  </x:si>
  <x:si>
    <x:t xml:space="preserve">NZ_HG964446.1</x:t>
  </x:si>
  <x:si>
    <x:t xml:space="preserve">https://www.ncbi.nlm.nih.gov/nuccore/NZ_HG964446.1?report=genbank&amp;log$=seqview&amp;from=5651357&amp;to=5652157</x:t>
  </x:si>
  <x:si>
    <x:t xml:space="preserve">atgaagaaca acctctaccg cgaactagcg ccgatcaccg acgccgcatg ggccgaaatc gaattggagg cgacgcggac gttcaaacgg cacatcgcgg ggcggcgggt ggtcgacgtg agcgagcccg gcggtccggt caccgccgcg gtcagcaccg gacgcctaca ggacgtggcg gcgcccaccg acggtgtgat tgcgcaccta cgggccagca aaccgcttgt ccgcctgcgg gttccattca cattgtcacg tgacgagatc gacgacgtcg agcgcggctc gcaggactcc gactgggacc cggtgaaagc cgccgccaag aagctggcgt tcgtcgagga ccgcgccatc ttcgagggct accccgccgc gtcgatcgac gggatccgca actgcagctc gaacccggcg ctgatgttgc ccgacgaccc tcgcgcgatt cccgacatca tcacgcaggc gctgtccgag ctgcggctgg ccggggtcga cggcccgtat tcggtgctgc tgtctgccga tatctacacc aaggtcagcg aaaccaccga gcacggctat ccgatcctcg agcacatcaa ccgcctggtg aacggcgaca tcatctgggc gcccgccatc gacggcgcgt tcgtgctgac cacccgcggc ggtgacttcg atctgcaatt gggcaccgac gtctccatcg gctacaccaa ccacgacgcc gacaacgtgc agctgtatct gcaggagacg atgacgttcc tgtgctacac cgccgaggcg tcggtcgccc tgggcaccta g</x:t>
  </x:si>
  <x:si>
    <x:t xml:space="preserve">A0A051TTE2_seq1</x:t>
  </x:si>
  <x:si>
    <x:t xml:space="preserve">WP_044487416.1</x:t>
  </x:si>
  <x:si>
    <x:t xml:space="preserve">NZ_KK328284.1</x:t>
  </x:si>
  <x:si>
    <x:t xml:space="preserve">https://www.ncbi.nlm.nih.gov/nuccore/NZ_KK328284.1?report=genbank&amp;log$=seqview&amp;from=5528988&amp;to=5529785</x:t>
  </x:si>
  <x:si>
    <x:t xml:space="preserve">atgaacaacc tctaccgcga cctggcaccg gtcaccgacg ccgcttggga agaaatcgaa ttggaggcga cccgcacctt caagcgccac atcgccgggc gccgggttgt cgacgtcagc gagcccggcg gcccggtgac ggccgcggtg agcaccggac ggctggccag cgtggcgtcc cccaccgacg gcgtcgaggc acacctgcgg gaaagcaaac cgcttgtccg gctgcgggtt ccgttcacat tgtcgcgtta cgagatcgac aacgtcgagc ggggcgccaa cgactccgac tgggacccgg tcaaggaggc ggccaagaag ttggcgttcg tggaagaccg ggccatcttc gagggctacg ccgcggcgtc catcgagggc atccgctcgg ccagctcgaa caagtccctg accctgccgg cggatccgcg cgagattccc gacgtcatca cccaggcgat ctccgaactc cggctggccg gtgtcgacgg cccgtactcg gtgctgctgt ccgcggacgt ctacacgaag gtcagcgaga cgaccgaaca cggctatccg atcctcgaac acatcgaccg gctggtcccc ggagacatca tctgggcgcc ggccatcgac ggcgccttcg tgctgaccac ccgcggcggc gacttcgatc tacagctcgg gcacgacgtg tcgatcggat acaccagcca tgacgcggac accgtgcagc tctatcttca ggagacgctg accttcctgt gctacaccgc cgaggcgtcc gtcccgctca gcccgtag</x:t>
  </x:si>
  <x:si>
    <x:t xml:space="preserve">A0A064CFW5_seq1</x:t>
  </x:si>
  <x:si>
    <x:t xml:space="preserve">WP_036341619.1</x:t>
  </x:si>
  <x:si>
    <x:t xml:space="preserve">NZ_JALN02000001.1</x:t>
  </x:si>
  <x:si>
    <x:t xml:space="preserve">https://www.ncbi.nlm.nih.gov/nuccore/NZ_JALN02000001.1?report=genbank&amp;log$=seqview&amp;from=1956881&amp;to=1957678</x:t>
  </x:si>
  <x:si>
    <x:t xml:space="preserve">atgaacaacc tctaccgcga gctcgctccg atcaccgaat cggcttggag tgaaatcgaa ttggaggcca gccggacgtt caagcggcat attgcaggcc gtcgcgtcgt cgacgtcagc gagcctggag gtccggtgac ggccggggtg agcaccggtc atctgcgcga cgtggcggcg ccggccgacg gcgtgctggc gcaccttcgg gaatccaagc cgctggttcg gctgcgggtg ccgttcacgg tgtcgcgcac cgcgatcgac gacgtggagc gcggtgcgca ggactcggac tgggatccgg tcaaggccgc ggccaagaag ctggcgttca tcgaggaccg cgcgatcttc gagggctacc aggaggcctc gatcgacggt attcggatgt gcagctcgaa cccggcgttg accctgccgg aggatgcccg cgagtacccc gacgtcttcg cccaggcgct ctcggaactt cggctggccg gcgtggacgg tccctactcg gtgttgctgt ccgccgacgc ctacaccaag gtcagtgaaa ccaccgagca cggctatccg ctcctggagc acctcaaccg gctggtcgac ggtgagatca tctgggcgcc cgcgatcgac ggcgcgttcc tgctgagcac ccgcggcggc gacttcgacc tgcagctggg caccgacgtc gcgatcggct acctgagcca tgacgcggag acggtgcagc tgtacctgga ggaaacgctg acgttcctgt gctacaccgc tgaggcgtcg gtcgccctga ccgcctga</x:t>
  </x:si>
  <x:si>
    <x:t xml:space="preserve">A0A066Z7H2_seq1</x:t>
  </x:si>
  <x:si>
    <x:t xml:space="preserve">WP_035861155.1</x:t>
  </x:si>
  <x:si>
    <x:t xml:space="preserve">NZ_KK853997.1</x:t>
  </x:si>
  <x:si>
    <x:t xml:space="preserve">https://www.ncbi.nlm.nih.gov/nuccore/NZ_KK853997.1?report=genbank&amp;log$=seqview&amp;from=2025732&amp;to=2026532</x:t>
  </x:si>
  <x:si>
    <x:t xml:space="preserve">tcagtgcgag gtgagggcga ccgcggcctc ggcggtgtgc agttggaagg tgagcgactc ctgcaggtac aggtgcacgg tggcgtcgtc gtgcgagagg tagccgatgg acaggtcctc gccgaggtgc agctcgaagt cgccgccgcg cgcggagagc agcaccgcgc cctcgacggc gggcgcccag atgatctcgc cgtcgagcag ccgggccagg tggttgtgga ccgggtagcc gtggtcggag gtctcgttga cggcggtgtg ggtgtcggcg ccgagcagca gcgagtaggg gccgccgacg ccggccaggc gcagcgcggt gagggcccgg ctgacggcgt tggggtagtc gcggacgtcc tcggggaggg cgaccgggtg gttgctggag ccgtcccgga tgccggtgat gccggcggcg gcgtagccgt cgaagatggc ccggtcctcg gcgagggcga tggtgcgggc ggcgtccttg accgggtccc agtcggagtc cttggagccg cgttcgacgt cgtccacggc ggcccgggtg acggtgaacg ggacgcggag ctcgaccagc ggctggcact cccgggcccg ggcccggatg ccgttgccgg gggcggcgat gtcggcgagg tggccggtgc cgaccgcggc gagttccggg ccgtcggggc cgagcaggtc gacgacccgg cggccggcca ggtgcagggt gaaggtgcgc cgggcctctt cctcgatctc ggcccaggcg gcggcggaga cgggcgccag ttcgcggtgc aggttgttca c</x:t>
  </x:si>
  <x:si>
    <x:t xml:space="preserve">A0A069RM29_seq1</x:t>
  </x:si>
  <x:si>
    <x:t xml:space="preserve">WP_038265412.1</x:t>
  </x:si>
  <x:si>
    <x:t xml:space="preserve">NZ_FSRH01000002.1</x:t>
  </x:si>
  <x:si>
    <x:t xml:space="preserve">https://www.ncbi.nlm.nih.gov/nuccore/NZ_FSRH01000002.1?report=genbank&amp;log$=seqview&amp;from=20994&amp;to=21788</x:t>
  </x:si>
  <x:si>
    <x:t xml:space="preserve">atggatattt taaaaaggga attggctcct attataaatg aggtttgggc ggaaatagac tccagggcag caaaggtgct tcaaacctat ctttcggcaa gaaaagttgt aaatgttgac ggtccaaagg ggtgggacta cactgccata gccgagggaa gacttgatgt caaagaggaa aaagacggcg tgaaaatggg catatacagg gtgatgcctc tactagaagc gagagctgaa tttgaactgg acagatggga gcttgacaac catgcaaggg gagctaagga catagacttt tcatcactcg aagaggctac aaggaaaata gccatgttcg aggacgatgt tatatataat ggacttgatg aagcttgcat aatagggcta aaggatgcgt gcaaaaatcc tcctatagac atggaagacg gggaagaagg tataatggat gccgtttcaa agggaatgct gacgcttcag gatggatttg cccaaaaacc atatactcta atagttggag aaaagggctg gagaagaata aattcaaagg tacagggata tcctcttgcc gacagaataa gaaacatgat agggggagaa ataatattca gccatgttgt tggagatgct cttttgcttc ctcaggatca tgaagatctt gaaatgacga taggaaggga tctttccata ggatacagcg aacacagcgc caagaaggtg aagcttttcc ttactgaatc ctttacattt agggttttgg cgaatgacat aatagtaaaa ttcaaccttg tataa</x:t>
  </x:si>
  <x:si>
    <x:t xml:space="preserve">A0A072NMH9_seq1</x:t>
  </x:si>
  <x:si>
    <x:t xml:space="preserve">A0A502IA18_seq1</x:t>
  </x:si>
  <x:si>
    <x:t xml:space="preserve">QDX91138.1</x:t>
  </x:si>
  <x:si>
    <x:t xml:space="preserve">CP033464.1</x:t>
  </x:si>
  <x:si>
    <x:t xml:space="preserve">https://www.ncbi.nlm.nih.gov/nuccore/CP033464.1?report=genbank&amp;log$=seqview&amp;from=19592&amp;to=20434</x:t>
  </x:si>
  <x:si>
    <x:t xml:space="preserve">atggataaag cacagaaatt cccagactcc ccattgtcaa aggaagaatg gcgtcaatta gacgatacca ttgttgaaat ggctcgtcgt caactcgtag gtcgtcgatt cattgacatt tacggcccac taggagaagg tattcaaacc attaccaacg atatttatga tgaatctcgt ttcggaaata tgagtttgcg cggtgaatca ctagaattaa cacagccaag taaacgagtt agcttaacga ttccgatcgt gtacaaagat ttcatgctgt actggcgcga tatggcacaa gcccgcacat tgggtatgcc aattgatctc agctctgcgg caaatgctgc cagtagttgc gctcttatgg aagatgatat gatctttaat ggtagccctg agtttgactt gccaggtatc atgaatgtaa aaggacgtct cacgcatatt aagagcgact ggatggaatc aggcaatgct tttgccgata tcgtagaagc tagaaataag ctgttaaaaa tgggccacag cggtccatat gcccttgttg tatccccaga gctgtattct ttgctccacc gtgtacacaa aggcaccaat gtccttgaaa ttgatcacgt tcgcaacttg gttacagacg gtgtattcca atctcctgta atcaaaggcg gtgttctagt agctacagga agacataacc tagaccttgc gattgctgag gattttgatt cagctttcct aggagacgaa caaatgaaca gcctcatgcg cgtatatgag tgtgctgttc tacgcattaa gcgtccaagt gcaatttgca cattggaaat gacagaagaa tag</x:t>
  </x:si>
  <x:si>
    <x:t xml:space="preserve">A0A076EZF5_seq1</x:t>
  </x:si>
  <x:si>
    <x:t xml:space="preserve">WP_005251300.1</x:t>
  </x:si>
  <x:si>
    <x:t xml:space="preserve">NZ_CAJUXZ010000001.1</x:t>
  </x:si>
  <x:si>
    <x:t xml:space="preserve">https://www.ncbi.nlm.nih.gov/nuccore/NZ_CAJUXZ010000001.1?report=genbank&amp;log$=seqview&amp;from=1944893&amp;to=1945699</x:t>
  </x:si>
  <x:si>
    <x:t xml:space="preserve">atgagtgatt cgagcaatct gcaccgcaac ctggcgcccg tcaccgaggt tgcctggcag cagatcggcg aagaggccgc ccgcacgttc aaacggcatg tcgcggggcg gcgtgtcgtc gacgtcgcgg gaccgttcgg atactcctac tcggcccaca acctcggccg ggtcactccg atcaagacgt cggacagcag gatccgggcg cagcagcggc aggtggaccc gctcgtcgaa ctccggttcc cgttcaccct cagccgcgcc gaggtcgacg acgtcgcccg gggttccctc gactccgact ggcagcccgt caaggacgcc gcgaaggccg tcgcgttcgc cgaagaccag tcgatcttcc agggattcga cgaggcgggg atccgcggac tcggaccgtc cagcgacaac ccggttctca gtctgccgga ggatccgctg ctcatccccg acgccgtcgc gtccgcactg tcggcgctgc gactcgccgg tgtcgaggga ccgtattcgg tggtgctcga cgccgacgcg tacaccgcgg tcagcgagac ccgcgacgag ggacatcccg tgttccacca cctgcgcgac ctggtcaccg gcgacatcat ctgggcaccc gccatcagcg gcgggtacgt gctgtccacc cgcggcggcg acaaccagct gaccctcggc acggacctgt cgatcggcta cgacagccac accgccaccg atgtcacgct ctacctcgaa gagacgttca cgttcgcctc gctcaccgcg gaggcggcag tcgtcctcgc acgctga</x:t>
  </x:si>
  <x:si>
    <x:t xml:space="preserve">A0A077LYF1_seq1</x:t>
  </x:si>
  <x:si>
    <x:t xml:space="preserve">WP_048553857.1</x:t>
  </x:si>
  <x:si>
    <x:t xml:space="preserve">NZ_HF570958.1</x:t>
  </x:si>
  <x:si>
    <x:t xml:space="preserve">https://www.ncbi.nlm.nih.gov/nuccore/NZ_HF570958.1?report=genbank&amp;log$=seqview&amp;from=3428867&amp;to=3429682</x:t>
  </x:si>
  <x:si>
    <x:t xml:space="preserve">tcaggaggtg ggggccgccg ggtcgatgac gacgctggac tccgccgtga aggcctggaa gacgaaggac tcctggaggt agaggtcgat ggtctgggcg tcgtgggcga ggtagccgat cgagaggtcc tggcccaggg tcagccggta gtcgccgccc cgcgtggaga cgagcaggcc gccggtgatg gcgggcgccc agatgacctc gccctcgccg aggaggcggg cgacgtggcc gaggaccggg tacccgtggt cggtcatctc ggcgaccgcg gtgtaggcct cggccgagag cagcaggctg tacggcccgt cgacacccgc gagacgcagc gcgctcagcg cctgggcgac ggcgtcgggc acggtgcgga cgtcagccgg gagggtgagg tgcgggttgg agctgcccgg ctcgatgccc tcgatcgagg cggccgcgac gccctcgacg atcgcccggt cctcggcgaa ggcgatggtg cgggcggcgt ccttgacggg ctgccagtcc gagtcctcgg cccctcgctc gacgtcgtcg acggccgccc gggtcacggt gaacgggacc cgcacctcga tgaggggctg cacctcccgg acccgcaccg tcactccgtc ggcggcgggc tccaggtcac ggacgtgccc ggtccccacg gccgagaggt ccgtgccctc ggggccggac acgtcgacga cgcggcgccc cgcgacatgg cgggtgaacg tgcggcgcgc ctcctcctcg atctgggccc acgccgcgtc ggtgatcggt gccagcgctc gatacaggtt gttcac</x:t>
  </x:si>
  <x:si>
    <x:t xml:space="preserve">A0A0B2BNB7_seq1</x:t>
  </x:si>
  <x:si>
    <x:t xml:space="preserve">WP_039341644.1</x:t>
  </x:si>
  <x:si>
    <x:t xml:space="preserve">NZ_PGEZ01000001.1</x:t>
  </x:si>
  <x:si>
    <x:t xml:space="preserve">https://www.ncbi.nlm.nih.gov/nuccore/NZ_PGEZ01000001.1?report=genbank&amp;log$=seqview&amp;from=1493168&amp;to=1493971</x:t>
  </x:si>
  <x:si>
    <x:t xml:space="preserve">atgaacaacc tgcaccgctc actcgccccg atctcagacg ccgcctggtc ggagatcgag gaggaggcgg cccgtacctt ccggcgcaat ctcgccggcc gccgggtcgt cgacgtgcac gacccgcagg gggtcggctt cgccggcctg tccaccggcc accgcggcga cgcacgcacg gacgcgaacg gcgtggaggc gcggcgtcgc gaggtcgcac cggtcgccga gctgcgagtg acgttcgacc tgggccgcga ggacatcgac gacgtcgagc gcggctcgca ggactccgac tggcagccgg tgaaggacgc cgcccgcgcg ctcgcgttcg ccgaggacca ggcgctgttc gcgggcctcg gcgacgtcgg gatccgcggg atcgtcgaga cgtcgagcaa ccccgcgctc gagctccccg aacgcgtcgt cgactacccc gacgccgtcg cccaggcgct gagccagctg cggctcgtcg gagtcgaggg gccgtacgcg ttgctgctga gcgccgacgc gtacaccgcc gtgaacgaga cgacggacca cggctatccg gtccacaacc agctctcgcg catggtcgac gaccacgtcg tctgggcacc ggcactgtcg ggggcggtgg tgctctcgac ccggggcggc gacttcgaca tgcacctggg acaggacacg tcgatcggct acctgcacca cgacgacgag tccgtgacgc tctacctgca ggagtccttc gcgttcctcc cgctcaccga cgaggcttcg gtcgtcatca aggcgcgcgc atga</x:t>
  </x:si>
  <x:si>
    <x:t xml:space="preserve">A0A0B5DEK1_seq1</x:t>
  </x:si>
  <x:si>
    <x:t xml:space="preserve">WP_043447910.1</x:t>
  </x:si>
  <x:si>
    <x:t xml:space="preserve">NZ_CP009313.1</x:t>
  </x:si>
  <x:si>
    <x:t xml:space="preserve">https://www.ncbi.nlm.nih.gov/nuccore/NZ_CP009313.1?report=genbank&amp;log$=seqview&amp;from=297221&amp;to=298018</x:t>
  </x:si>
  <x:si>
    <x:t xml:space="preserve">tcaggaggtg aatgccacca cggcctcatc cgtgtacacc aggaaagtca aagtctgacg gaagtacatc tcgatctggt tcgcatcgta ggcggtgtag ccgatcgcga ggtcctcacc gaggcgcagt tcgaagtcgc cgccccgggt ggacagaagg aaggcgccgt cgatcgcggg tgcccagacg ggcggcccgt ccagcaagcg accgagatgc tcggcgatgg gatagccgtg gtcggacgtc tcgctcaccg cggtgtacgc atcggcgccc agcaccagcg agtaggggcc ggcgaccccg gccaggcgca gcgtcgtcag agcccggctg acggcatccg ggtaattgcg gggctcggtc gggaggctga ccacgggatt ggaggtgcgc cgccgtagcc cgtcgatgcc cgctgccgcg tatccttcga agacggcccg gtcctcggcg aaggccatgg cgcgcaccgc gtccttgacg ggctgccagt cggagtcctg agcaccgcgc tcgacgttgt ccaccgcgtc gcgggtgacc ttgaagggga cgcggagttc gaccagaggt tgcacctgac gcagtcgcgc gaagacgccc tgtgcgggag catcgatggc ggtgagatga ccggtgccgg ctgccgccag cgtgggtcca tcgggtccgg tcacgtccac gacccggcgg cccccgacgt tgcgctggaa ggtgcgacgg gcctcgtcct cgatctgtgc ccacgcctgg ggtgtgatgg gggcgagttc gcggtggagg ttgttcat</x:t>
  </x:si>
  <x:si>
    <x:t xml:space="preserve">A0A0B5IIS0_seq1</x:t>
  </x:si>
  <x:si>
    <x:t xml:space="preserve">WP_041132208.1</x:t>
  </x:si>
  <x:si>
    <x:t xml:space="preserve">NZ_CP010407.1</x:t>
  </x:si>
  <x:si>
    <x:t xml:space="preserve">https://www.ncbi.nlm.nih.gov/nuccore/NZ_CP010407.1?report=genbank&amp;log$=seqview&amp;from=7092107&amp;to=7092922</x:t>
  </x:si>
  <x:si>
    <x:t xml:space="preserve">atgacgtccc ccgagtccac cagcaacctc caccgcgaac tcgccccgat caccgccgcagcgtgggccg agatcgagga ggaggcccgc cgcaccttcc gccgcaacgt cgccggccgccgcgtcgtcg acgtccccga cccggccggg ccggagctct ccgccgtcgg caccggccac ctctccgacc tgacggcgcc cgcacccggc gtcacggcac ggctccgcga ggcccggccc ctcgtcgagc tcagggtgcc gttcaccgtc gaccgggccg ccgtcgacga cgtcgagcgc ggctcgaagg actccgactg gcagcccgtc aaggacgcgg cccgcgtcct ggcgctcatc gaggaccgca tggtcttcga ggggtacgag gccgccgggg tcgaagggct gcgcgcccgc agctccaacg cggtgctgcg gctgcccacc gaaccccgcg actaccccga cgccgtcagc cgggccctca ccgccctgcg gctcgccggc gtcgacggcc cgtacgcgct gctgctcggc gccgaccagt accgggccgt cagcgagacc tccgaccacg gctatccgat cgcggcccac ctcgcccgga tgctcgacgg ctccccgatc tgggcgcccg ccctcgacgg cggcttcgtc ctctccaccc ggggcggcga cttcgaactg cgcatcggcc aggacgtggc gatcggctac acctcgcacg acgcgaccgg cgtcgagctg tacctccagg agaccctgac gttcctcacg tacacggacg aggccgtcgt cgtcctggag ccctga</x:t>
  </x:si>
  <x:si>
    <x:t xml:space="preserve">A0A0B8N630_seq1</x:t>
  </x:si>
  <x:si>
    <x:t xml:space="preserve">WP_033085708.1</x:t>
  </x:si>
  <x:si>
    <x:t xml:space="preserve">NZ_AP017900.1</x:t>
  </x:si>
  <x:si>
    <x:t xml:space="preserve">https://www.ncbi.nlm.nih.gov/nuccore/NZ_AP017900.1?report=genbank&amp;log$=seqview&amp;from=7293684&amp;to=7294481</x:t>
  </x:si>
  <x:si>
    <x:t xml:space="preserve">atgaacaacc tgcatcgcga actcgcgccc atcacctccg aggcctggtc ggccatcgag gaggaggcga cgcgaacctt caagcggcac atcgccggtc gccgcgtggt ggacctgtcg ggtccgcacg gcaccggctt ctccgcggtc gggctgggcc gcaccgccgc catcaactcc cccggtgacg gcgtgcaggc ccgccagcgc gtggtactgc cgctgatcga gttgcgggtg ccgttcacgc tgacccgcga ggaactcgac aatgtggagc gcggggcccg cgacaccgat ctggacgcgg tcaaggaggc cgccaagaag atcgccttcg ccgaggaccg cgccattttc gagggctatc ccgcggccgg tatcaccggt atccgggcct ccacctcgtg cgagccggtg aagctgccgg gcgatccgcg cctggcgccg gaggcggtcg cgcaggcgct gagcaagctg cgcctggccg gtgtgggcga cccgtactcg gtgctgctgt cggccgacct gttcaccgcg gtgagcgaga cctccgacca cgggcacccg atccgcacgc acatcgagcg gctcatcgac ggcgacatca tctgggcccc ggccatcgac ggcgcgttcg tactgtccac gcgcggtggc gatttcgatc tccagctggg tcaggacctg tcgatcggct acctctcgca cgatgcccag tcggtgcagc tgtacttcca ggagagcctg acgttcctgg tgtacacggc ggaggcggcg gtcgcgctcg aggcgtga</x:t>
  </x:si>
  <x:si>
    <x:t xml:space="preserve">A0A0B8ZXE8_seq1</x:t>
  </x:si>
  <x:si>
    <x:t xml:space="preserve">WP_039211685.1</x:t>
  </x:si>
  <x:si>
    <x:t xml:space="preserve">NZ_JTJZ01000022.1</x:t>
  </x:si>
  <x:si>
    <x:t xml:space="preserve">https://www.ncbi.nlm.nih.gov/nuccore/NZ_JTJZ01000022.1?report=genbank&amp;log$=seqview&amp;from=334803&amp;to=335603</x:t>
  </x:si>
  <x:si>
    <x:t xml:space="preserve">tcaggggtgc agggggacgc tggattcgtc ggtgagtgcg aggaagccga aggtctcctg caggtacagg tcgacggtct caccgtcgtg gcctctgtag ccgatcgaca gatcctggcc caggtggagt tcgtagtcgc cgccgcgggt ggacacgagc agggcaccct cgagcgccgg cgcccagacg atctccccag cgccgagctg acgggagagg tgatcgcgga ccgggaagcc atggtcggtc gattcggaga ccttcgtgta ctcggcctca gacagcagaa ggctgtaggg cccgtcgact ccggccgtgc gcaggctcga cagcgcctgc gccaccgcgt ccgcatagtc ctcgaccgaa tcgggcaggg tgacggcgac gttcgacgag ttcgggacga tgccgccgat gcccgcggag tcgagtccgt ggaggatcgc ccggtcctcg gccagcgcga tcgtcgtggc cgcgtccttg accggctgcc agtccgaatc accggagccg cgcgcaacat cgtcgatggc ctcacgtgtg accgtgaacg gggcgcgcag ttcgacaaat tcctgcacga tgcgctgccg aatgtgcaga cccgaggaat acgactgcac gtgacggata tgtcccgtgg tcaccgagga ggtctcgaag ccgctcggtc cctcgacgtc gacgatgcgc cgaccggcga tattgcgctt gaaggtgcgc ctggcctcct cctcgatctc cgcccaggcc gggccggtga tgggagctag ttcgcgatag aggttgttca c</x:t>
  </x:si>
  <x:si>
    <x:t xml:space="preserve">A0A0D0PGX2_seq1</x:t>
  </x:si>
  <x:si>
    <x:t xml:space="preserve">WP_043913228.1</x:t>
  </x:si>
  <x:si>
    <x:t xml:space="preserve">NZ_JBFBDQ010000004.1</x:t>
  </x:si>
  <x:si>
    <x:t xml:space="preserve">https://www.ncbi.nlm.nih.gov/nuccore/NZ_JBFBDQ010000004.1?report=genbank&amp;log$=seqview&amp;from=175607&amp;to=176407</x:t>
  </x:si>
  <x:si>
    <x:t xml:space="preserve">tcaggatgag gtgagcgaca ccgaggcctc gggggtgtgg agctggaagg tgagggactc ctggaggtag aggtggacgg tggtgtcgtc gtgggagagg tagccgatcg acaggtcctc gccgaggtgg agttcgaagt cgccgccgcg ggcggagagc aggatggcgc cctcgacggc gggggcccag atgatctcgc cgtcgaggag gcgggcgagg tggttgtgga cggggtagcc gtggtcggag gtctcgttga cggcggtgta ggtgtcggcg ccgagcagca gggagtaggg gccgccgacg ccggccaggc gcagcgcggt gagggcgcgg ctgacggcgt tggggtagtc gcggacgtcg gcgggcaggg cgacggggtg gttgctggag ccgtcgcgga tgccggtgat gcccgcggcg gcgtagccgt cgaagagggc gcggtcctcg gcgagggcga tggtgcgggc ggcgtccttg accgggtccc agtcggagtc cttggagccg cgttcgacgt cgtcgacggc ggcccgggtg acggtgaacg ggacgcgcag ctcgaccagt ggctggcact cccgggcgcg ggcccggacg ccgttggtgg gggcggcgat gtcggcgagg tggccggtgc cgaccgcggc gagttccggc ccgtcggggc cgagcaggtc gaccacccgg cggccggcca ggtgcagggt gaaggtgcgc cgggcctcct cctcgatttc ggcccaggcg gcggcggaga cgggcgccag ctcgcggtgc aggttgttca c</x:t>
  </x:si>
  <x:si>
    <x:t xml:space="preserve">A0A0D1L751_seq1</x:t>
  </x:si>
  <x:si>
    <x:t xml:space="preserve">WP_043987920.1</x:t>
  </x:si>
  <x:si>
    <x:t xml:space="preserve">NZ_JXST01000051.1</x:t>
  </x:si>
  <x:si>
    <x:t xml:space="preserve">https://www.ncbi.nlm.nih.gov/nuccore/NZ_JXST01000051.1?report=genbank&amp;log$=seqview&amp;from=13090&amp;to=13887</x:t>
  </x:si>
  <x:si>
    <x:t xml:space="preserve">tcagctgtcg agcgcgaccg acgcctcggc ggtgtagcac aggaacgtca gcgtctcctg caggtacagc tgcaccgaat cggcatcgtg ggacaggtat ccgatggtca cgtcggtgcc cagttgcaga tcgaaatcgc cgccgcgcgt ggacaatacg aacgcgccgt cgatggcggg tgcccagatg atctcgccgt ccaccagccg gttcaggtgc tccagcagcg ggtagccatg ctcggtggtc tcggtgacct tggtgtaggc ctccgccgac agcagcaccg agtacggccc gtccacaccg gccagccgga gctccgacaa cgcctgcgag atcacgtcgg ggtagccgcg cggatcacta ggcaatgcca gcgccgggtt ggaaccggag gcgcggatgc cttcgatctg tgcgtccgcg tagccctcga agatcgcgcg gtcctcggcg aaggccagct tcttggcggc gtccttgact ggatcccagt cggagtcctg cgcgccgcgc tcgacgtcgt cgattgccgt gcgcgacacc gtgaacggca cgcgcagccg caccagcggc cgggactcgc gcaggtgcgc ctggacgccc tcggccggcg aggcgacgtc caccagatgg ccggtgccga cggcggcggc tgtcgggccg ttcgggccgc tcacgtcgac gacgcggcga ccggcgatgt gccgcttgaa cgtccgcgcg gcttcctctt cgatctgcgc ccaggcggcg gaggtgacgg gagccagttc gcggtacagg ttgttcat</x:t>
  </x:si>
  <x:si>
    <x:t xml:space="preserve">A0A0D1VV73_seq1</x:t>
  </x:si>
  <x:si>
    <x:t xml:space="preserve">WP_043068885.1</x:t>
  </x:si>
  <x:si>
    <x:t xml:space="preserve">NZ_BJOA01000154.1</x:t>
  </x:si>
  <x:si>
    <x:t xml:space="preserve">https://www.ncbi.nlm.nih.gov/nuccore/NZ_BJOA01000154.1?report=genbank&amp;log$=seqview&amp;from=14434&amp;to=15288</x:t>
  </x:si>
  <x:si>
    <x:t xml:space="preserve">ctatttatca gtatccgggt cttcaattgt gcagatggag cttggacgct ttatgcgaag gacgattgct tcataaactc ggaacagatg gttcatatgc tcggtatcaa gatatgcggt atagaagtct tctgcaattg ccaagtccaa attatgttgg cctgtagcta taataacacc ggcctttcct ttaatttccg gagactgaaa tacgccatct gtaatcagtt cgcgaatgtg ttcgatttcc aaaacattag tgcccgggtg aacacgatga agaagagagt atagtgcagg agagaggacc atagcataag gtccgttatg ccctatttgt tgcagcttgc cgatagcatc aaccgtgtcc tcaaaagctt tacctggttt catccattca tcccgaatat gggtcaacct tcccttcacg ttcatgaggc ccggtaattc aaattgagaa aacccgttga aaataaggtc atcttctagt cgggcacatt gaacagcagc gttagctgcg gcactcatat cgatagggat tcctaacgtt ttagcctgct caaggtcgcg ccaatacagg ataaaatctt tatacaacat aggaatggat aaattaacac gacgggttgg ctgagataat tccagagatt ctccgcgaag actgatgccg cctccgtgtg attcttcaaa aatgtcattg cttacgctct gaatgccttc gcctaaagga ccgtagatat caataaaacg gcgaccgaca agctgccttc tggctgcctc gattacagtg gactccaatc gtgtccattc cgaccgatcg aaaggagaag tggagaattt tccttcttta tccat</x:t>
  </x:si>
  <x:si>
    <x:t xml:space="preserve">A0A0D5NS11_seq1</x:t>
  </x:si>
  <x:si>
    <x:t xml:space="preserve">WP_045673370.1</x:t>
  </x:si>
  <x:si>
    <x:t xml:space="preserve">NZ_CP011058.1</x:t>
  </x:si>
  <x:si>
    <x:t xml:space="preserve">https://www.ncbi.nlm.nih.gov/nuccore/NZ_CP011058.1?report=genbank&amp;log$=seqview&amp;from=3510366&amp;to=3511211</x:t>
  </x:si>
  <x:si>
    <x:t xml:space="preserve">atggcaaaca aagtcgatat ttatcccgac tccccgctaa atgcggcgca atgggagcaa atgaatgaaa ccattattga ggccgcccgc aaacaattga tcggcagacg gtttatcgaa atctatggtc cgatcggaga aggcatccag tcgatcaatg tcgacatctt cgacgaactt cagggcgggg gaatcgacgt tcacggcagt aaacttgaac tttccgtccc aagccggaga aggaacttga ccataccgat gctgtacaaa gattttacgc tgtatcgaag agattttgaa ttggcgaaaa gtctttccat cccgcttgac ttaagtccgg ctgccaatgc ggcaacgcag tgcgcaagac ttgaggatga gctgatcttc caaggctcgg aagaattcga tcttcccggg ttaatgaatg ttaaaggccg tctgacccac attatcgaga attggatgga atcgggaaaa gcgtttgaag atgtcgtaga ggcaacccgt aaattacagc aggtgggaca aaccgggccg tacgcgcttg tgttgtcgcc cgaattatac gcatcgttgc atcgtgtcca tcaaggaacc aatgttctgg agatcgagca tgtgaaggag ctcgtaaccg acggcgtatt ccagtctccg tcgcttaaag gccgatccgg agtgatggtc aatacagggc gccacaattt tgacttggtc atcgccgagg atttcgacag cgccttcctt gattcggaac atttgaattt tctgttccgg gtttatgaga cgatcgtgct ccgcatcaag cggccaattg cgatttgtac gtttgaagaa gcttaa</x:t>
  </x:si>
  <x:si>
    <x:t xml:space="preserve">A0A0D8BGZ0_seq1</x:t>
  </x:si>
  <x:si>
    <x:t xml:space="preserve">WP_044884680.1</x:t>
  </x:si>
  <x:si>
    <x:t xml:space="preserve">NZ_JYFN01000012.1</x:t>
  </x:si>
  <x:si>
    <x:t xml:space="preserve">https://www.ncbi.nlm.nih.gov/nuccore/NZ_JYFN01000012.1?report=genbank&amp;log$=seqview&amp;from=5554&amp;to=6372</x:t>
  </x:si>
  <x:si>
    <x:t xml:space="preserve">ctacgcgccc ccggcggccg gcacgagcgc gacggccgcg tcgggctcgg tgacccggaa ggtgaagctc tcctccaggt acaggtcgac ggtgtccgca gtgtgggccg catacccgat cgagaggtcc tggcccgact cgagcacgaa gtcgccgcca cgcaggctga gcacgaccgc tccggtgacg ccgggggcct gcacgacggg cccgtcgagg atgtgctgga ggtgggtgag cagcaggtag ccgccgtgct cggcggtctc gatcaccgcg gtgtagctgt ccggctcgag ggccagggcg tacggtccgg cgatgccggc gcggcgcagc agggcgacgg ccttggccac ggtgcgcggg taggtgtcgg tccccgccgc cagcgggagc tggggatgtg ccgacgcctg cgtgatgccg accaggccgg cctcctggta gccgtggaag accaccgagt tctcggtgac ggcgatgcgg cgcaccgcct cctccagcgg cgcgagatcg aggtcgtcgg cgccgcggtc ggcgtcggcg agctgggcgc gatcgagggt gaagccgacg cgcagctcga tgaccggctg cacctggcgg acccgggcct gcaccccggc cgccggcggc gaggacagcg ccgccacccg acccagcggg gtggcggagt actcccagcc gtgcggcccg gcgaagtcca ccaccttgcg ggcggccagg ttcgtcgtga ggcgggcctt cgcctcgtcg tccaccgcct tccaggcagc gtccgtcagc ggggcgtggc cgcgcagcag atgattcac</x:t>
  </x:si>
  <x:si>
    <x:t xml:space="preserve">A0A1Y2N7J2_seq1</x:t>
  </x:si>
  <x:si>
    <x:t xml:space="preserve">WP_232021020.1</x:t>
  </x:si>
  <x:si>
    <x:t xml:space="preserve">NZ_AP018920.1</x:t>
  </x:si>
  <x:si>
    <x:t xml:space="preserve">https://www.ncbi.nlm.nih.gov/nuccore/NZ_AP018920.1?report=genbank&amp;log$=seqview&amp;from=3742186&amp;to=3743007</x:t>
  </x:si>
  <x:si>
    <x:t xml:space="preserve">gtgaccgtgc aggaccacct tctccgcgac aaggccccga tcccggtcac cgcctggaag gcgatcgacg acgaggcgcg cgagcggctc accccgctgc tggccggacg ccggctcgcc gactggggcg ggacgtccgg ctggaacgcg tcgtcggtct ccaccgggcg gtcgcaccgg ctggacggcc cgccgcccgg ggtgaaggcc gaggggttcc gggcgcggct gcgcgaggtg cagccgctgg ccgagttccg ggtgccgttc acggtgtccc gcgaggagat cgaggacatc cagcggggtg cgcaggatcc cgagttcgac gacctggccc gggccgcccg ggaagccgcc gaggtggaga accggacgct gttccacggc tggccggagg ccggcatcgg gggcatcgcg gcgtcgacgc cgtacgacgt gctgtctctc ggcgccgagc ccgaccacta tccggcggtc gtcgcgcgtg cagtcgatgt gttgcgccgc aacgggatcg aggggccttt cgcgctggcg gtggcacccg agggcttcac ccggatcgcc gagacggccg agcacggcgg gttcccactg ttcgaccacc tgacccggat cctgggcggg cagatcctgc gggcgcccgg cctggacggt gcgctcgtgg tgtcccagcg cggtggggac ttcgtgctcg acgtcgggca ggacctggcg atcggctaca ccgatcacga cgccgacgac gtgcacctct acctggagga gtcgttcacc ttccgggtca ccgagccgga cgcggcggtc gtactgcgct ga</x:t>
  </x:si>
  <x:si>
    <x:t xml:space="preserve">Q0SE23_seq1</x:t>
  </x:si>
  <x:si>
    <x:t xml:space="preserve">Q1Q6L7_seq1</x:t>
  </x:si>
  <x:si>
    <x:t xml:space="preserve">CAJ73225.1</x:t>
  </x:si>
  <x:si>
    <x:t xml:space="preserve">CT573071.1</x:t>
  </x:si>
  <x:si>
    <x:t xml:space="preserve">https://www.ncbi.nlm.nih.gov/nuccore/CT573071.1?report=genbank&amp;log$=seqview&amp;from=217487&amp;to=218578</x:t>
  </x:si>
  <x:si>
    <x:t xml:space="preserve">atggttatgg gtattttaaa tacatttaaa aaagtatatg cagtgacggg tttttttgcc ttgttagcag tattttctct atcgcaggtg gggtcctctg cttttgccgc gtgtgcaaaa gtagatgatt gcttttcgtg tcataccaca caagaattaa atgcagtcca taaaaatact ccataccagg gacaaagctg tattgtgtgt cacaaagctt ttgctgcaga tgatacatgc tcagacgcaa aagatggtag attcgcaaaa atttcatctg aaataaacat caacaaagaa gattggaaca aaattcaacg tgcagtccat gagacaacag aaaagcatct tgtagggaga aaattcttaa acatttacgg accacttgga acaggcgccc agagtgtgcc acttgatacg tatggcctgc catcatgggc aagcattgat atgctgggcg agggcaatga ggcgatacat ccccttaaga gggaaattgc tcaaatatac cttatttaca aagacttttg gcttttccgg agagatattg agttcagcaa aaagtgtgag acgcccattg atataagtgc tgcaatagga gctgcggtgt ctgtttccag gaaagaggac gacatggttt ttaacggttt gtctgagatg ggcattccgg ggcttttgac tgcaagcggc aggaatataa tgaaactcag tgattggtca gttattggaa acggctttca ggatgttgta ttggcagtag agaaactgac aagcaggggt tttaatggcc cgtttgcttt ggtagtgagt ccaaagttgt atgcatatct ccacagggtt tatgagcgta caggacaatt agagatacag ggggtaaaag agttggtaaa cgggggtgtt tatcagagct acgtttttaa taaagatgtg gcgctcgtaa ttgcaacggg cagtctgaat atggaccttg ccgtagggag caattataaa gtagagtact ggggccctca ggatctgaac caccggttca gggttgtggg gagttctgtg ctcaggatta aatgtccgca ggcaatttgt acattggagt ag</x:t>
  </x:si>
  <x:si>
    <x:t xml:space="preserve">P61996_seq1</x:t>
  </x:si>
  <x:si>
    <x:t xml:space="preserve">WP_011013014.1</x:t>
  </x:si>
  <x:si>
    <x:t xml:space="preserve">NC_003413.1</x:t>
  </x:si>
  <x:si>
    <x:t xml:space="preserve">https://www.ncbi.nlm.nih.gov/nuccore/NC_003413.1?report=genbank&amp;log$=seqview&amp;from=1729289&amp;to=1729588</x:t>
  </x:si>
  <x:si>
    <x:t xml:space="preserve">atggagaaca acaacataat gtcccaagtc aaggaaatta ttgaagctgc aataaaggaa ttagaagatg acggatttga gccagatata atcttagctg gccctatctt tataagatat ctacccgaag atgtcagact gaaagtttat gaaattgagg aactaggaag tgatgcaatt atagcagatt ctaagtatct cggccaaatt aagaaagcag ccaaaagaat atcaattgat cctcttctcc aagaaaaaga atgggaaaag ataattgaag agatacctac tcaagaatag</x:t>
  </x:si>
  <x:si>
    <x:t xml:space="preserve">P61997_seq1</x:t>
  </x:si>
  <x:si>
    <x:t xml:space="preserve">NZ_AP042435.1</x:t>
  </x:si>
  <x:si>
    <x:t xml:space="preserve">https://www.ncbi.nlm.nih.gov/nuccore/NZ_AP042435.1?report=genbank&amp;log$=seqview&amp;from=1331600&amp;to=1331899</x:t>
  </x:si>
  <x:si>
    <x:t xml:space="preserve">evidence_id</x:t>
  </x:si>
  <x:si>
    <x:t xml:space="preserve">field_name</x:t>
  </x:si>
  <x:si>
    <x:t xml:space="preserve">value_text</x:t>
  </x:si>
  <x:si>
    <x:t xml:space="preserve">value_numeric</x:t>
  </x:si>
  <x:si>
    <x:t xml:space="preserve">unit</x:t>
  </x:si>
  <x:si>
    <x:t xml:space="preserve">support_type</x:t>
  </x:si>
  <x:si>
    <x:t xml:space="preserve">source_type</x:t>
  </x:si>
  <x:si>
    <x:t xml:space="preserve">source_id</x:t>
  </x:si>
  <x:si>
    <x:t xml:space="preserve">source_url</x:t>
  </x:si>
  <x:si>
    <x:t xml:space="preserve">used_in_databank</x:t>
  </x:si>
  <x:si>
    <x:t xml:space="preserve">EV2026_A_0001</x:t>
  </x:si>
  <x:si>
    <x:t xml:space="preserve">assembly_observation</x:t>
  </x:si>
  <x:si>
    <x:t xml:space="preserve">construct=EncA; variant_status=wild_type; assembly_symmetry=icosahedral; T_number=3; T_number_basis=directly_reported; shell_subunit_count=180; shell_diameter_nm=32; inner_diameter_nm=26; wall_thickness_nm=3; inner_volume_A3=3.09 × 106; curated_notes=Shell diameter (32 nm) and inner diameter (26 nm) from McHugh et al. 2014 / 4PT2; inner volume (3.09 × 10^6 Å³) from Eren et al. 2022 / 7S20. Wall thickness (3 nm) calculated as (32−26)/2. T=3 represented ~94% of EncA particles purified from M. xanthus. Among recombinant empty EncA shells expressed in E. coli, T=3 represented ~80% in McHugh et al. 2014 and ~64% in Eren et al. 2022. Yadav &amp; Beck 2026 further demonstrated that WT EncA T=3 formation during reassembly is strongly condition-dependent: Tris at low ionic strength favors T=3, whereas increasing ionic strength can shift assembly toward T=1 or unassembled species. Once formed, T=3 shells are kinetically trapped and do not interconvert with T=1 upon buffer exchange.</x:t>
  </x:si>
  <x:si>
    <x:t xml:space="preserve">curated_from_sheet</x:t>
  </x:si>
  <x:si>
    <x:t xml:space="preserve">curated_sheet</x:t>
  </x:si>
  <x:si>
    <x:t xml:space="preserve">assemblies.assembly_id=Q1D6H4_T3</x:t>
  </x:si>
  <x:si>
    <x:t xml:space="preserve">EV2026_A_0002</x:t>
  </x:si>
  <x:si>
    <x:t xml:space="preserve">construct=EncA; variant_status=wild_type; assembly_symmetry=icosahedral; T_number=1; T_number_basis=directly_reported; shell_subunit_count=60; shell_diameter_nm=18; inner_volume_A3=8.71 × 105; curated_notes=Shell diameter (~18 nm) and inner volume (8.71 × 10^5 Å³) from Eren et al. 2022 / 7S21. T=1 represented ~6% of EncA particles purified from M. xanthus. Among recombinant empty EncA shells expressed in E. coli, T=1 represented ~20% in McHugh et al. 2014 and ~36% in Eren et al. 2022. Recombinant T=1 shells were observed only in the absence of co-expressed cargo in Eren et al. 2022. No inner diameter or wall thickness was directly reported for the T=1 shell. Assuming a spherical cavity, a spherical-equivalent inner diameter of ~11.9 nm can be estimated from the reported inner volume (8.71 × 10^5 Å³), corresponding to an approximate wall thickness of ~3.1 nm using the ~18 nm outer diameter. Yadav &amp; Beck 2026 demonstrated that WT EncA T=1 formation during reassembly is strongly promoted by phosphate buffer and by conditions that disfavor the competing T=3 pathway. Once formed, T=1 shells are kinetically trapped and do not interconvert with T=3 upon buffer exchange.</x:t>
  </x:si>
  <x:si>
    <x:t xml:space="preserve">assemblies.assembly_id=Q1D6H4_T1</x:t>
  </x:si>
  <x:si>
    <x:t xml:space="preserve">EV2026_A_0003</x:t>
  </x:si>
  <x:si>
    <x:t xml:space="preserve">construct=EncA; variant_status=wild_type; assembly_symmetry=icosahedral; T_number=3; T_number_basis=directly_reported; shell_subunit_count=180; shell_diameter_nm=32; curated_notes=Highly cargo-loaded WT T=3 shell. SNAP-tag-TP occupancy was ~95%, corresponding to &gt;170 occupied TP-binding sites
 out of 180. High cargo loading was also associated with distorted, expanded and fused shell particles.</x:t>
  </x:si>
  <x:si>
    <x:t xml:space="preserve">https://doi.org/10.1016/j.jsb.2023.108022</x:t>
  </x:si>
  <x:si>
    <x:t xml:space="preserve">assemblies.assembly_id=Q1D6H4_T3_loaded</x:t>
  </x:si>
  <x:si>
    <x:t xml:space="preserve">EV2026_A_0004</x:t>
  </x:si>
  <x:si>
    <x:t xml:space="preserve">construct=3×His-MxEnc (K199H/T200H/G201H); variant_status=engineered; assembly_symmetry=icosahedral; T_number=1; T_number_basis=directly_reported; shell_subunit_count=60; shell_diameter_nm=~24; inner_volume_A3=1.944 × 106; curated_notes=Triple pore-lining point mutant. Forms a dimorphic population containing T=1 60-mer and tetrahedral 36-mer assemblies. Shell diameter (~24 nm) was determined by negative-stain TEM.</x:t>
  </x:si>
  <x:si>
    <x:t xml:space="preserve">https://doi.org/10.1073/pnas.2321260121</x:t>
  </x:si>
  <x:si>
    <x:t xml:space="preserve">assemblies.assembly_id=Q1D6H4_3xHis_T1</x:t>
  </x:si>
  <x:si>
    <x:t xml:space="preserve">EV2026_A_0005</x:t>
  </x:si>
  <x:si>
    <x:t xml:space="preserve">construct=3×His-MxEnc (K199H/T200H/G201H); variant_status=engineered; assembly_symmetry=tetrahedral; T_number_basis=not_applicable; shell_subunit_count=36; inner_volume_A3=3.0004 × 105; curated_notes=36-mer assembly with tetrahedral symmetry rather than icosahedral symmetry; therefore T-number is not applicable. 
Coexists with the T=1 60-mer 3×His assembly.</x:t>
  </x:si>
  <x:si>
    <x:t xml:space="preserve">assemblies.assembly_id=Q1D6H4_3xHis_Tet</x:t>
  </x:si>
  <x:si>
    <x:t xml:space="preserve">EV2026_A_0006</x:t>
  </x:si>
  <x:si>
    <x:t xml:space="preserve">construct=Mx_pmut (ΔI195–L202 + GG); variant_status=engineered; assembly_symmetry=icosahedral; T_number=1; T_number_basis=directly_reported; shell_subunit_count=60; shell_diameter_nm=~20; curated_notes=Pore-engineered EncA lacking the I195–L202 pore loop, with two Gly residues introduced to form the shortened loop. Without cargo co-expression, Mx_pmut exclusively formed ~20 nm T=1 shells.</x:t>
  </x:si>
  <x:si>
    <x:t xml:space="preserve">https://doi.org/10.1021/acsnano.4c08186</x:t>
  </x:si>
  <x:si>
    <x:t xml:space="preserve">assemblies.assembly_id=Q1D6H4_pmut_T1</x:t>
  </x:si>
  <x:si>
    <x:t xml:space="preserve">EV2026_A_0007</x:t>
  </x:si>
  <x:si>
    <x:t xml:space="preserve">construct=Mx_pmut (ΔI195–L202 + GG); variant_status=engineered; assembly_symmetry=icosahedral; T_number=3; T_number_basis=directly_reported; shell_subunit_count=180; shell_diameter_nm=35; curated_notes=Cargo-loaded Mx_pmut formed T=3 and T=4 shells. T=3 represented ~75% of the sample. Cargo loading was ~97%, with approximately 180 cargo copies per T=3 shell.</x:t>
  </x:si>
  <x:si>
    <x:t xml:space="preserve">assemblies.assembly_id=Q1D6H4_pmut_T3</x:t>
  </x:si>
  <x:si>
    <x:t xml:space="preserve">EV2026_A_0008</x:t>
  </x:si>
  <x:si>
    <x:t xml:space="preserve">construct=Mx_pmut (ΔI195–L202 + GG); variant_status=engineered; assembly_symmetry=icosahedral; T_number=4; T_number_basis=directly_reported; shell_subunit_count=240; shell_diameter_nm=39; curated_notes=Cargo-loaded Mx_pmut formed T=3 and T=4 shells. T=4 represented ~25% of the sample. Cargo loading was ~97%, with approximately 240 cargo copies per T=4 shell.</x:t>
  </x:si>
  <x:si>
    <x:t xml:space="preserve">assemblies.assembly_id=Q1D6H4_pmut_T4</x:t>
  </x:si>
  <x:si>
    <x:t xml:space="preserve">EV2026_A_0009</x:t>
  </x:si>
  <x:si>
    <x:t xml:space="preserve">construct=Enc; variant_status=wild_type; assembly_symmetry=icosahedral; T_number=1; T_number_basis=directly_reported; shell_subunit_count=60; shell_diameter_nm=24; wall_thickness_nm=2-2.5; curated_notes=Canonical WT T=1 assembly. Sutter et al. 2008 directly reported 60 shell subunits, T=1 icosahedral symmetry, a 23-24 nm 
shell diameter, and a 2-2.5 nm shell thickness. PDB 3DKT contains the native 8-residue C-terminal targeting peptide of FLP (Q9WZP3) bound to the shell; full FLP cargo was not resolved in that structure. LaFrance et al. 2021 later used cryo-EM to characterize recombinant FLP-loaded TmEnc and demonstrated symmetry-matched association of FLP decamers with shell fivefold axes; PDB 7MU1 represents the corresponding WT shell structure.</x:t>
  </x:si>
  <x:si>
    <x:t xml:space="preserve">assemblies.assembly_id=Q9WZP2_ref</x:t>
  </x:si>
  <x:si>
    <x:t xml:space="preserve">EV2026_A_0010</x:t>
  </x:si>
  <x:si>
    <x:t xml:space="preserve">construct=Enc; variant_status=wild_type; assembly_symmetry=icosahedral; T_number=1; T_number_basis=inferred_from_subunit_count; shell_subunit_count=60; curated_notes=Recombinant WT cargo-free shell. 7KQ5 is the high-resolution flavin-bound WT shell. 9Y8P is a later WT shell reconstruction and does not represent a distinct geometry, so both PDBs are grouped in this assembly. Nakamura et al. 2026 further showed that recombinant TmEnc can undergo acid-induced disassembly followed by reassembly upon return to neutral pH, supporting the reversible assembly behavior of the T=1 scaffold; this study used a C-terminally His-tagged construct rather than the exact WT constructs represented by 7KQ5/9Y8P.</x:t>
  </x:si>
  <x:si>
    <x:t xml:space="preserve">https://doi.org/10.1107/S2052252521001949</x:t>
  </x:si>
  <x:si>
    <x:t xml:space="preserve">assemblies.assembly_id=Q9WZP2_T1_empty</x:t>
  </x:si>
  <x:si>
    <x:t xml:space="preserve">EV2026_A_0011</x:t>
  </x:si>
  <x:si>
    <x:t xml:space="preserve">construct=S1K pore variant; variant_status=engineered; assembly_symmetry=icosahedral; T_number=1; T_number_basis=inferred_from_subunit_count; shell_subunit_count=60; shell_diameter_nm=24; curated_notes=Engineered pore point mutant. Intact T=1 shell retained. Fivefold pore diameter ~4.0 Å was calculated from the cryo-EM structure, not directly measured. Shell diameter of 24 nm observed by negative-stain TEM.</x:t>
  </x:si>
  <x:si>
    <x:t xml:space="preserve">https://doi.org/10.1126/sciadv.abl7346</x:t>
  </x:si>
  <x:si>
    <x:t xml:space="preserve">assemblies.assembly_id=Q9WZP2_S1K_T1</x:t>
  </x:si>
  <x:si>
    <x:t xml:space="preserve">EV2026_A_0012</x:t>
  </x:si>
  <x:si>
    <x:t xml:space="preserve">construct=S1R pore variant; variant_status=engineered; assembly_symmetry=icosahedral; T_number=1; T_number_basis=inferred_from_subunit_count; shell_subunit_count=60; shell_diameter_nm=24; curated_notes=Engineered pore point mutant. Intact T=1 shell retained. Fivefold pore diameter ~3.5 Å was calculated from the cryo-EM structure, not directly measured. Shell diameter of 24 nm observed by negative-stain TEM.</x:t>
  </x:si>
  <x:si>
    <x:t xml:space="preserve">assemblies.assembly_id=Q9WZP2_S1R_T1</x:t>
  </x:si>
  <x:si>
    <x:t xml:space="preserve">EV2026_A_0013</x:t>
  </x:si>
  <x:si>
    <x:t xml:space="preserve">construct=S3E pore variant; variant_status=engineered; assembly_symmetry=icosahedral; T_number=1; T_number_basis=inferred_from_subunit_count; shell_subunit_count=60; shell_diameter_nm=24; curated_notes=Engineered negatively charged pore variant. Intact T=1 shell retained. Fivefold pore diameter ~5.5 Å was calculated from the cryo-EM structure, not directly measured. Shell diameter of 24 nm observed by negative-stain TEM.</x:t>
  </x:si>
  <x:si>
    <x:t xml:space="preserve">assemblies.assembly_id=Q9WZP2_S3E_T1</x:t>
  </x:si>
  <x:si>
    <x:t xml:space="preserve">EV2026_A_0014</x:t>
  </x:si>
  <x:si>
    <x:t xml:space="preserve">construct=S5D pore variant; variant_status=engineered; assembly_symmetry=icosahedral; T_number=1; T_number_basis=inferred_from_subunit_count; shell_subunit_count=60; shell_diameter_nm=24; curated_notes=Engineered pore-loop deletion variant. Intact T=1 shell retained. Fivefold pore diameter ~10.7 Å was calculated from the cryo-EM structure, not directly measured. Shell diameter of 24 nm observed by negative-stain TEM.</x:t>
  </x:si>
  <x:si>
    <x:t xml:space="preserve">assemblies.assembly_id=Q9WZP2_S5D_T1</x:t>
  </x:si>
  <x:si>
    <x:t xml:space="preserve">EV2026_A_0015</x:t>
  </x:si>
  <x:si>
    <x:t xml:space="preserve">construct=S6E pore variant; variant_status=engineered; assembly_symmetry=icosahedral; T_number=1; T_number_basis=inferred_from_subunit_count; shell_subunit_count=60; shell_diameter_nm=24; curated_notes=Engineered pore-loop deletion variant. Intact T=1 shell retained. Fivefold pore diameter ~6.7 Å was calculated from the cryo-EM structure, not directly measured. Shell diameter of 24 nm observed by negative-stain TEM.</x:t>
  </x:si>
  <x:si>
    <x:t xml:space="preserve">assemblies.assembly_id=Q9WZP2_S6E_T1</x:t>
  </x:si>
  <x:si>
    <x:t xml:space="preserve">EV2026_A_0016</x:t>
  </x:si>
  <x:si>
    <x:t xml:space="preserve">construct=S7D pore variant; variant_status=engineered; assembly_symmetry=icosahedral; T_number=1; T_number_basis=inferred_from_subunit_count; shell_subunit_count=60; shell_diameter_nm=24; curated_notes=Engineered pore-loop deletion variant. Intact T=1 shell retained. Fivefold pore diameter ~10.1 Å was calculated from the cryo-EM structure, not directly measured. Shell diameter of 24 nm observed by negative-stain TEM.</x:t>
  </x:si>
  <x:si>
    <x:t xml:space="preserve">assemblies.assembly_id=Q9WZP2_S7D_T1</x:t>
  </x:si>
  <x:si>
    <x:t xml:space="preserve">EV2026_A_0017</x:t>
  </x:si>
  <x:si>
    <x:t xml:space="preserve">construct=S7G pore-loop deletion variant; variant_status=engineered; assembly_symmetry=icosahedral; T_number=1; T_number_basis=inferred_from_subunit_count; shell_subunit_count=60; shell_diameter_nm=24; curated_notes=Complete pore-loop deletion/enlarged-pore variant. 6WKV and 7LIT represent the same S7G design and are therefore grouped. Williams et al. estimated an ~11 Å pore; Adamson et al. later calculated ~11.3 Å from the higher-resolution structure. Shell diameter of 24 nm observed by negative-stain TEM.</x:t>
  </x:si>
  <x:si>
    <x:t xml:space="preserve">assemblies.assembly_id=Q9WZP2_S7G_T1</x:t>
  </x:si>
  <x:si>
    <x:t xml:space="preserve">EV2026_A_0018</x:t>
  </x:si>
  <x:si>
    <x:t xml:space="preserve">construct=Enc; variant_status=wild_type; assembly_symmetry=icosahedral; T_number=1; T_number_basis=directly_reported; shell_subunit_count=60; shell_diameter_nm=23; inner_diameter_nm=19; curated_notes=Canonical full WT T=1 shell. Berger et al. 2025 directly reported a 60-subunit T=1 icosahedron with an outer diameter of 23 nm and inner diameter of 19 nm along the fivefold axis. 7P1T was obtained from a sample subjected to pH 3 disassembly followed by neutral-pH reassembly and recovered the canonical full-shell architecture. 8IKA is an independent WT, unmutated icosahedral homo-60-mer and is grouped here because it represents the same assembly state. Wall thickness is left blank rather than calculated from outer and inner diameters. A spherical/radial wall thickness of ~2.0 nm can be calculated from the directly reported 23 nm outer and 19 nm inner diameters; this value is not directly reported.</x:t>
  </x:si>
  <x:si>
    <x:t xml:space="preserve">https://doi.org/10.1038/s42003-025-07660-5</x:t>
  </x:si>
  <x:si>
    <x:t xml:space="preserve">assemblies.assembly_id=I6WZG6_ref</x:t>
  </x:si>
  <x:si>
    <x:t xml:space="preserve">EV2026_A_0019</x:t>
  </x:si>
  <x:si>
    <x:t xml:space="preserve">construct=C-terminal His-tagged Enc; variant_status=engineered; assembly_symmetry=icosahedral; T_number=1; T_number_basis=inferred_from_subunit_count; shell_subunit_count=60; shell_diameter_nm=22; wall_thickness_nm=2.5; curated_notes=Recombinant C-terminally His-tagged Mt-Enc formed shell-like nanoparticles approximately 22 nm in diameter with an 
approximately 2.5 nm shell thickness, both measured from EM images using ImageJ by Contreras et al. 2014. Based on the similarity to the known T. maritima 60-subunit icosahedral encapsulin, the authors proposed that Mt-Enc also forms a 60-subunit icosahedral shell. T=1 is therefore inferred from the proposed icosahedral 60-mer architecture rather than directly reported for this construct.</x:t>
  </x:si>
  <x:si>
    <x:t xml:space="preserve">https://doi.org/10.1074/jbc.M114.570119</x:t>
  </x:si>
  <x:si>
    <x:t xml:space="preserve">assemblies.assembly_id=I6WZG6_His_T1_empty</x:t>
  </x:si>
  <x:si>
    <x:t xml:space="preserve">EV2026_A_0020</x:t>
  </x:si>
  <x:si>
    <x:t xml:space="preserve">construct=Enc; variant_status=wild_type; assembly_symmetry=icosahedral; T_number=1; T_number_basis=inferred_from_subunit_count; shell_subunit_count=60; shell_diameter_nm=25; curated_notes=Biologically relevant native DyP-loaded state. DyP-containing nanocompartments were experimentally demonstrated after recombinant expression of the native Enc-DyP system and in M. tuberculosis H37Rv by Lien et al. 2021; native purified particles contained Enc and DyP by mass spectrometry and were approximately 25 nm by TEM. 8PYS provides a 2.7 Å cryo-EM structure of the 60-subunit icosahedral shell prepared in a DyP-loaded context, although DyP was not resolved in the deposited shell model. 9BKX provides a 3.15 Å X-ray structure of the recombinant Mtb Enc-DyP complex with a 60-subunit shell; the compact DyP domain was not resolved, while DyP targeting-peptide density was observed on the shell interior. T=1 is assigned from the experimentally established 60-subunit icosahedral architecture. The 25 nm shell diameter is retained from the Lien et al. 2021 TEM state; 9BKX reports an approximately 24 nm shell. Tagged/recombinant structural constructs are treated as supporting structures of the same biological assembly rather than separate assemblies.</x:t>
  </x:si>
  <x:si>
    <x:t xml:space="preserve">assemblies.assembly_id=I6WZG6_T1_DyP_loaded</x:t>
  </x:si>
  <x:si>
    <x:t xml:space="preserve">EV2026_A_0021</x:t>
  </x:si>
  <x:si>
    <x:t xml:space="preserve">construct=Enc; variant_status=wild_type; assembly_symmetry=partial_icosahedral; T_number_basis=not_applicable; shell_subunit_count=48; curated_notes=Stable incomplete WT shell assembly intermediate containing 48 Enc monomers. The particle retains an overall icosahedral-like geometry but has a single large opening caused by missing subunits on one side. Obtained after low-pH disassembly followed by neutral-pH reassembly.</x:t>
  </x:si>
  <x:si>
    <x:t xml:space="preserve">assemblies.assembly_id=I6WZG6_partial_48mer</x:t>
  </x:si>
  <x:si>
    <x:t xml:space="preserve">EV2026_A_0022</x:t>
  </x:si>
  <x:si>
    <x:t xml:space="preserve">construct=Enc; variant_status=wild_type; assembly_symmetry=partial_icosahedral; T_number_basis=not_applicable; shell_subunit_count=52; curated_notes=Stable incomplete WT shell assembly intermediate containing 52 Enc monomers. Retains an overall icosahedral-like geometry with a single opening. Relative to the 48-mer, two additional Enc dimers are incorporated around a threefold region.</x:t>
  </x:si>
  <x:si>
    <x:t xml:space="preserve">assemblies.assembly_id=I6WZG6_partial_52mer</x:t>
  </x:si>
  <x:si>
    <x:t xml:space="preserve">EV2026_A_0023</x:t>
  </x:si>
  <x:si>
    <x:t xml:space="preserve">construct=Enc; variant_status=wild_type; assembly_symmetry=partial_icosahedral; T_number_basis=not_applicable; shell_subunit_count=54; curated_notes=Stable incomplete WT shell assembly intermediate containing 54 Enc monomers. The particle has a single opening and retains an overall icosahedral-like organization, but is measurably distorted, appearing flattened in one direction and elongated in the perpendicular direction.</x:t>
  </x:si>
  <x:si>
    <x:t xml:space="preserve">assemblies.assembly_id=I6WZG6_partial_54mer</x:t>
  </x:si>
  <x:si>
    <x:t xml:space="preserve">EV2026_A_0024</x:t>
  </x:si>
  <x:si>
    <x:t xml:space="preserve">construct=Enc; variant_status=wild_type; assembly_symmetry=icosahedral; T_number=4; T_number_basis=directly_reported; shell_subunit_count=240; shell_diameter_nm=42; thermostability_tm_c=88.9; curated_notes=Canonical WT cargo-loaded T=4 assembly. Giessen et al. 2019 directly reported a 240-subunit T=4 icosahedral shell approximately 42 nm in diameter and 9.6 MDa in mass. PDB 6NJ8 / EMD-9383 represents the IMEF cargo-loaded compartment; targeting-peptide density is modeled in the atomic shell structure while the full IMEF cargo is less ordered. The cargo-loaded compartment has a reported melting temperature of 88.9 °C. Compartments isolated under high-iron conditions reached 91.8 °C, but this represents increased stabilization by internal mineralized material rather than a distinct shell assembly.</x:t>
  </x:si>
  <x:si>
    <x:t xml:space="preserve">https://doi.org/10.7554/eLife.46070</x:t>
  </x:si>
  <x:si>
    <x:t xml:space="preserve">assemblies.assembly_id=A0A0F5HPP7_ref</x:t>
  </x:si>
  <x:si>
    <x:t xml:space="preserve">EV2026_A_0025</x:t>
  </x:si>
  <x:si>
    <x:t xml:space="preserve">construct=Enc; variant_status=wild_type; assembly_symmetry=icosahedral; T_number=4; T_number_basis=directly_reported; shell_subunit_count=240; shell_diameter_nm=43; thermostability_tm_c=86.6; curated_notes=Recombinant cargo-free WT QtEnc shell. Sigmund et al. 2019 directly reported T=4 icosahedral symmetry and an approximately 43 nm shell diameter; the corresponding E. coli-derived cryo-EM map EMD-4879 was reconstructed at 3.4 Å. The empty shell has a reported melting temperature of 86.6 °C. No separate PDB atomic model is assigned to this empty-state map.</x:t>
  </x:si>
  <x:si>
    <x:t xml:space="preserve">assemblies.assembly_id=A0A0F5HPP7_T4_empty</x:t>
  </x:si>
  <x:si>
    <x:t xml:space="preserve">EV2026_A_0026</x:t>
  </x:si>
  <x:si>
    <x:t xml:space="preserve">construct=Enc; variant_status=wild_type; assembly_symmetry=icosahedral; T_number=4; T_number_basis=directly_reported; shell_subunit_count=240; curated_notes=Native Fdx cargo-loaded WT QtEnc state generated by post-assembly in vitro loading. Cryo-EM at 2.47 Å showed intact properly assembled shells and directly resolved the interaction between the Fdx N-terminal cargo-loading peptide and internal shell binding sites. PDB 11YX / EMD-76203. Fdx is the native minor 2Fe-2S ferredoxin cargo encoded in the QtEnc operon; this structure represents the first visualization of an N-terminal CLP-shell interaction.</x:t>
  </x:si>
  <x:si>
    <x:t xml:space="preserve">https://doi.org/10.1038/s41467-026-76849-x</x:t>
  </x:si>
  <x:si>
    <x:t xml:space="preserve">assemblies.assembly_id=A0A0F5HPP7_T4_Fdx_loaded</x:t>
  </x:si>
  <x:si>
    <x:t xml:space="preserve">EV2026_A_0027</x:t>
  </x:si>
  <x:si>
    <x:t xml:space="preserve">construct=T4GALA E-loop insertion variant; variant_status=engineered; assembly_symmetry=icosahedral; T_number=4; T_number_basis=directly_reported; shell_subunit_count=240; shell_diameter_nm=42; curated_notes=Engineered E-loop insertion variant designed for triggered reversible disassembly. T4GALA retains the global T=4 240-mer architecture and is approximately 42 nm in diameter, nearly identical to WT QtEnc, but cryo-EM shows substantial loss of ordered density around the engineered E-loop/GALA insertion site, consistent with increased local structural dynamics. PDB 7MH2 / EMD-23834.</x:t>
  </x:si>
  <x:si>
    <x:t xml:space="preserve">https://doi.org/10.1002/anie.202110318</x:t>
  </x:si>
  <x:si>
    <x:t xml:space="preserve">assemblies.assembly_id=A0A0F5HPP7_T4GALA_T4</x:t>
  </x:si>
  <x:si>
    <x:t xml:space="preserve">EV2026_A_0028</x:t>
  </x:si>
  <x:si>
    <x:t xml:space="preserve">construct=Glass9 (9-residue deletion); variant_status=engineered; assembly_symmetry=icosahedral; T_number=4; T_number_basis=directly_reported; shell_subunit_count=240; curated_notes=Directed-evolution-derived homomeric pore-deletion variant with a 9-residue deletion. Glass9 retains the canonical T=4 240-mer architecture but exhibits substantially enlarged pores: approximately 21 Å at pentameric vertices and elongated approximately 12 × 35 Å openings at hexameric vertices. Cryo-EM structure PDB 9ZVV / EMD-74892 was determined at 2.40 Å.</x:t>
  </x:si>
  <x:si>
    <x:t xml:space="preserve">https://doi.org/10.64898/2026.01.12.698938</x:t>
  </x:si>
  <x:si>
    <x:t xml:space="preserve">assemblies.assembly_id=A0A0F5HPP7_Glass9_T4</x:t>
  </x:si>
  <x:si>
    <x:t xml:space="preserve">EV2026_A_0029</x:t>
  </x:si>
  <x:si>
    <x:t xml:space="preserve">construct=Letter11 (11-residue deletion); variant_status=engineered; assembly_symmetry=icosahedral; T_number=4; T_number_basis=directly_reported; shell_subunit_count=240; curated_notes=Directed-evolution-derived 11-residue deletion variant. Letter11 forms a dimorphic homomeric population containing approximately 70% T=4 particles and approximately 30% T=3 particles. This row represents the T=4 fraction. PDB 9ZW3 / EMD-74904 was determined at 2.40 Å.</x:t>
  </x:si>
  <x:si>
    <x:t xml:space="preserve">assemblies.assembly_id=A0A0F5HPP7_Letter11_T4</x:t>
  </x:si>
  <x:si>
    <x:t xml:space="preserve">EV2026_A_0030</x:t>
  </x:si>
  <x:si>
    <x:t xml:space="preserve">construct=Letter11 (11-residue deletion); variant_status=engineered; assembly_symmetry=icosahedral; T_number=3; T_number_basis=directly_reported; shell_subunit_count=180; curated_notes=Directed-evolution-derived 11-residue deletion variant. Letter11 forms a dimorphic homomeric population containing approximately 70% T=4 particles and approximately 30% T=3 particles. This row represents the 180-subunit T=3 fraction and constitutes the first reported access to a latent T=3 architecture for QtEnc. PDB 9ZW4 / EMD-74905 was determined at 2.42 Å.</x:t>
  </x:si>
  <x:si>
    <x:t xml:space="preserve">assemblies.assembly_id=A0A0F5HPP7_Letter11_T3</x:t>
  </x:si>
  <x:si>
    <x:t xml:space="preserve">EV2026_A_0031</x:t>
  </x:si>
  <x:si>
    <x:t xml:space="preserve">construct=Enc; variant_status=wild_type; assembly_symmetry=icosahedral; T_number=1; T_number_basis=inferred_from_subunit_count; shell_subunit_count=60; shell_diameter_nm=21; curated_notes=Canonical WT native-cargo-loaded T=1 assembly. Loaded-Enc formed regular nanocompartments approximately 21 nm in diameter. Cryo-EM directly resolved a T=1 icosahedral shell composed of 60 Enc subunits. Asymmetric reconstruction revealed four EncFtn decamers arranged tetrahedrally inside the shell, producing a symmetry mismatch with the icosahedral cage. PDB 7OE2 and 7OEU represent closed and open fivefold-pore pentamer conformations derived from symmetry expansion of this same Loaded-Enc assembly and are therefore handled in pore_records rather than as separate assemblies.</x:t>
  </x:si>
  <x:si>
    <x:t xml:space="preserve">https://doi.org/10.1126/sciadv.abj4461</x:t>
  </x:si>
  <x:si>
    <x:t xml:space="preserve">assemblies.assembly_id=D0LZ74_ref</x:t>
  </x:si>
  <x:si>
    <x:t xml:space="preserve">EV2026_A_0032</x:t>
  </x:si>
  <x:si>
    <x:t xml:space="preserve">construct=Enc; variant_status=wild_type; assembly_symmetry=icosahedral; T_number=1; T_number_basis=other_supported_inference; shell_subunit_count=60; shell_diameter_nm=21; curated_notes=Recombinant cargo-free WT Empty-Enc formed homogeneous regular nanocompartments with an average diameter of approximately 21 nm, indistinguishable in overall size from the EncFtn-loaded particles. No separate high-resolution cryo-EM/PDB structure was reported for the empty sample. The T=1, 60-subunit icosahedral assignment is inherited from the structurally resolved WT Loaded-Enc shell and the matching shell morphology; it was not independently established by subunit counting in the Empty-Enc TEM sample.</x:t>
  </x:si>
  <x:si>
    <x:t xml:space="preserve">assemblies.assembly_id=D0LZ74_T1_empty</x:t>
  </x:si>
  <x:si>
    <x:t xml:space="preserve">EV2026_A_0033</x:t>
  </x:si>
  <x:si>
    <x:t xml:space="preserve">construct=SrpI shell; variant_status=wild_type; assembly_symmetry=icosahedral; T_number=1; T_number_basis=directly_reported; shell_subunit_count=60; shell_diameter_nm=24.5; curated_notes=Canonical WT CyD-loaded T=1 SrpI assembly. Nichols/LaFrance et al. 2021 directly reported the SrpI nanocompartment as a 24.5 nm T=1 icosahedral capsid formed by 60 SrpI subunits. Holo-SrpI was generated by denaturing recombinant SrpI in 6 M GuHCl and refolding it in vitro in the presence of separately purified cognate full-length CyD. Negative-stain TEM showed internal cargo density corresponding to approximately 1–2 CyD copies, and focused classification of the holo cryo-EM map detected weak cargo-associated density near a threefold axis; most CyD was not resolved in the atomic model because of low occupancy and/or flexibility. PDB 6X8M / EMD-22094 represents the holo shell. Native sulfate-starved S. elongatus lysates contained a high-molecular-weight complex enriched in SrpI and CyD by LC-MS, supporting the biological relevance of the cargo-loaded state. The C-terminal expression tag present in the structural construct is not treated as a separate assembly.</x:t>
  </x:si>
  <x:si>
    <x:t xml:space="preserve">https://doi.org/10.7554/eLife.59288</x:t>
  </x:si>
  <x:si>
    <x:t xml:space="preserve">assemblies.assembly_id=Q55032_ref</x:t>
  </x:si>
  <x:si>
    <x:t xml:space="preserve">EV2026_A_0034</x:t>
  </x:si>
  <x:si>
    <x:t xml:space="preserve">construct=SrpI shell; variant_status=wild_type; assembly_symmetry=icosahedral; T_number=1; T_number_basis=inferred_from_subunit_count; shell_subunit_count=60; curated_notes=Experimentally prepared cargo-free apo-SrpI assembly. PDB 6X8T / EMD-22095 represents the cargo-free apo-SrpI shell and is an icosahedral homo-60-mer. T=1 is inferred from the experimentally established 60-subunit icosahedral architecture; the paper directly reports T=1 for SrpI but does not separately state the apo-state T-number. Negative-stain TEM showed no internal cargo density, and the apo shell density was reported to be indistinguishable from the holo shell. No separate apo shell diameter was explicitly reported, so shell_diameter_nm is left blank rather than inheriting the 24.5 nm value from the holo structure. The C-terminal expression tag present in the structural construct is not treated as a separate assembly.</x:t>
  </x:si>
  <x:si>
    <x:t xml:space="preserve">assemblies.assembly_id=Q55032_T1_empty</x:t>
  </x:si>
  <x:si>
    <x:t xml:space="preserve">EV2026_A_0035</x:t>
  </x:si>
  <x:si>
    <x:t xml:space="preserve">construct=full-length ferritin-like–encapsulin fusion protein; variant_status=wild_type; assembly_symmetry=icosahedral; T_number=3; T_number_basis=directly_reported; shell_subunit_count=180; shell_diameter_nm=30; wall_thickness_nm=3.3; curated_notes=Canonical WT T=3 assembly of the naturally occurring full-length ferritin-like–encapsulin fusion protein from Pyrococcus 
furiosus. Namba et al. 2005 reported endogenous spherical particles approximately 30 nm in diameter and showed that recombinant full-length protein expressed in E. coli forms morphologically similar particles. Akita et al. 2007 subsequently determined PDB 2E0Z and directly reported an icosahedral T=3 capsid composed of 180 subunits. The N-terminal ferritin-like domain (approximately residues 1–109) is covalently fused to each encapsulin shell subunit and is therefore part of the native WT protein architecture rather than a separately loaded cargo; this internal domain was not resolved in 2E0Z, consistent with conformational mobility within the shell. PDB 5N5E represents only an isolated N-terminal ferritin-like domain construct forming a D5 decamer and is not treated as a distinct encapsulin assembly. Kumamoto et al. 2024 experimentally characterized recombinant full-length Pf-enc expressed in E. coli, denatured and refolded in vitro; negative-stain TEM showed spherical particles measuring 39 ± 2 nm, which the authors considered similar to the previously reported T=3 particles. This condition-specific recombinant measurement is retained here as supporting information and does not replace the approximately 30 nm diameter reported for the canonical native particles. VUVCD analysis further indicated that the N-terminal ferritin-like domain adopts a substantially different secondary structure within full-length Pf-enc than when studied as the isolated truncated domain, supporting the interpretation that the 5N5E decamer may reflect truncation-dependent oligomerization rather than the organization of the domain inside the intact T=3 cage. No alternative T-number, symmetry, stable assembly intermediate, expanded/contracted shell architecture, or structurally distinct engineered shell has been experimentally demonstrated for Q8U1L4. Planar shell walls were reported to be approximately 33 Å thick.</x:t>
  </x:si>
  <x:si>
    <x:t xml:space="preserve">assemblies.assembly_id=Q8U1L4_ref</x:t>
  </x:si>
  <x:si>
    <x:t xml:space="preserve">EV2026_A_0036</x:t>
  </x:si>
  <x:si>
    <x:t xml:space="preserve">construct=B. linens encapsulin; variant_status=wild_type; assembly_symmetry=icosahedral; T_number=1; T_number_basis=directly_reported; shell_subunit_count=60; shell_diameter_nm=22.8; wall_thickness_nm=2.8-3.0; inner_volume_A3=~2.6 × 106; curated_notes=Canonical cargo-free WT T=1 assembly. Putri et al. 2017 directly characterized nonloaded B. linens encapsulin (nl-E) as an icosahedral T=1 shell with an outer diameter of 22.8 nm and an average shell thickness of 2.8-3.0 nm; the internal volume of the B. linens encapsulin particle was reported as ~2.6 × 10^6 Å^3. The inner diameter was reported to be identical to the DyP- and TFP-loaded maps, but no separate numerical inner-diameter value was given, so inner_diameter_nm is left blank. Native mass spectrometry in Snijder et al. 2016 directly detected the cargo-free 60-mer and lower-abundance assembly species. PDB 7BCV / EMD-12144 provides a 2.28 Å high-resolution cryo-EM structure of the recombinant apo shell and is an icosahedral homo-60-mer; Cuthbert et al. 2024 independently refers to 7BCV as apo-Enc. The nl-E preparation could contain nonspecifically packaged cellular material in a subset of particles, but no defined cognate cargo was present. The 30-mer, 58-mer and other lower-order species observed by native mass spectrometry are not treated as separate assemblies because they were not established as stable, structurally characterized nanocage states.</x:t>
  </x:si>
  <x:si>
    <x:t xml:space="preserve">assemblies.assembly_id=Q45296_ref</x:t>
  </x:si>
  <x:si>
    <x:t xml:space="preserve">EV2026_A_0037</x:t>
  </x:si>
  <x:si>
    <x:t xml:space="preserve">construct=B. linens encapsulin; variant_status=wild_type; assembly_symmetry=icosahedral; T_number=1; T_number_basis=directly_reported; shell_subunit_count=60; shell_diameter_nm=23.2; wall_thickness_nm=2.8-3.0; inner_volume_A3=~2.6 × 106; curated_notes=Biologically relevant cognate DyP-loaded WT T=1 assembly. Native mass spectrometry in Snijder et al. 2016 directly detected a 60-subunit encapsulin containing one hexameric DyP cargo (six DyP monomers; cargo:shell-protomer ratio 1:10). Putri et al. 2017 directly reconstructed DyP-E as an icosahedral T=1 shell and measured an outer diameter of 23.2 nm, compared with 22.8 nm for nonloaded encapsulin, corresponding to an ~2% cargo-associated size increase. The loaded and nonloaded maps had the same inner diameter, while the shell thickness was 2.8-3.0 nm; the internal volume of the B. linens encapsulin particle was reported as ~2.6 × 10^6 Å^3. DyP density formed a single hexameric cargo complex connected to the shell near one threefold axis through three ordered targeting-peptide contacts. Cargo loading lowered mechanical stability and was proposed to cause local distortion near a threefold axis while retaining the global T=1 icosahedral architecture. EMD-3612 is the icosahedrally symmetrized DyP-E map; EMD-3614 is the unsymmetrized DyP-E map and EMD-3613 is the C3-symmetrized DyP-E reconstruction. No PDB atomic model has been deposited specifically for the DyP-loaded B. linens state, so structure_id is left blank. DyP-E remained largely intact from pH 5 to 11 under the tested conditions, although aggregation increased at basic pH and partial disassembly was observed at pH 11; the smaller pH-induced species are not treated as separate assemblies because no stable discrete architecture was structurally characterized.</x:t>
  </x:si>
  <x:si>
    <x:t xml:space="preserve">assemblies.assembly_id=Q45296_T1_DyP_loaded</x:t>
  </x:si>
  <x:si>
    <x:t xml:space="preserve">EV2026_A_0038</x:t>
  </x:si>
  <x:si>
    <x:t xml:space="preserve">construct=AaEnc shell; variant_status=wild_type; assembly_symmetry=icosahedral; T_number=1; T_number_basis=directly_reported; shell_subunit_count=60; shell_diameter_nm=24; curated_notes=Canonical WT cargo-free T=1 AaEnc assembly. Jones et al. 2023 directly reported a ~24 nm icosahedral cage composed of 
60 AaEnc protomers. At pH 7.5, cryo-EM resolved closed (8DN9 / EMD-27558; ~68%) and open (8DNL / EMD-27573; ~32%) five-fold pore states, while at pH 3.0 only the closed state was observed (8DNA / EMD-27560). These structures retain the same global T=1 architecture and are therefore treated as pore conformations of a single assembly rather than separate assemblies. Individual shells remained ~24 nm by TEM across the tested pH range; larger DLS diameters at acidic pH were attributed to limited aggregation, not shell expansion. Reported thermal values are aggregation temperatures (T_agg), not melting temperatures, so thermostability_tm_c is left blank. Heterologous eGFP-TP loading did not produce a distinct shell architecture.</x:t>
  </x:si>
  <x:si>
    <x:t xml:space="preserve">https://doi.org/10.1021/acs.biomac.2c01424</x:t>
  </x:si>
  <x:si>
    <x:t xml:space="preserve">assemblies.assembly_id=K7RV67_ref</x:t>
  </x:si>
  <x:si>
    <x:t xml:space="preserve">EV2026_A_0039</x:t>
  </x:si>
  <x:si>
    <x:t xml:space="preserve">construct=DendroEnc shell; variant_status=wild_type; assembly_symmetry=icosahedral; T_number=4; T_number_basis=directly_reported; shell_subunit_count=240; shell_diameter_nm=40; curated_notes=Canonical WT cargo-free T=4 DendroEnc assembly. Pecanac et al. 2025 directly reported a ~40 nm icosahedral shell composed of 240 subunits, resolved at 3.4 Å (PDB 9I8E / EMD-52715). The WT shell has an open 5-fold pore of ~10 Å, a nearly closed 6-fold pore, and an additional triangular pore. Heterologous CyanoPOX- and PTDH-mFMO-loaded WT preparations are not treated as separate assemblies because no distinct global shell architecture was demonstrated.</x:t>
  </x:si>
  <x:si>
    <x:t xml:space="preserve">https://doi.org/10.1039/D5MA00268K</x:t>
  </x:si>
  <x:si>
    <x:t xml:space="preserve">assemblies.assembly_id=A0A1G9WS71_ref</x:t>
  </x:si>
  <x:si>
    <x:t xml:space="preserve">EV2026_A_0040</x:t>
  </x:si>
  <x:si>
    <x:t xml:space="preserve">construct=N198W pore variant; variant_status=engineered; assembly_symmetry=icosahedral; T_number=4; T_number_basis=inferred_from_subunit_count; shell_subunit_count=240; curated_notes=Structurally characterized pore-engineered T=4 variant. PDB 9I8F / EMD-52716 is an icosahedral homo-240-mer resolved at 
3.6 Å; T=4 is inferred from the 240-subunit icosahedral architecture. N198W narrows the 5-fold pore from ~10 Å to ~5 Å, while the 6-fold pore remains fully closed with a hydrophobic barrier, without altering the overall cage architecture. No separate mutant shell diameter was explicitly reported, so shell_diameter_nm is left blank.</x:t>
  </x:si>
  <x:si>
    <x:t xml:space="preserve">assemblies.assembly_id=A0A1G9WS71_N198W_T4</x:t>
  </x:si>
  <x:si>
    <x:t xml:space="preserve">EV2026_A_0041</x:t>
  </x:si>
  <x:si>
    <x:t xml:space="preserve">construct=M. smegmatis CFP-29 shell; variant_status=wild_type; assembly_symmetry=icosahedral; T_number=1; T_number_basis=directly_reported; shell_subunit_count=60; shell_diameter_nm=24; wall_thickness_nm=2.5; curated_notes=Canonical native DyP-loaded WT T=1 assembly. Tang et al. 2021 isolated the endogenous CFP-29/DyP nanocompartment 
from M. smegmatis and directly reported a ~24 nm, ~2.5 nm-thick icosahedral shell composed of 60 CFP-29 subunits. The cargo is one dodecameric DyP complex (two hexamers) spanning the lumen. PDB 7BOJ / EMD-30130 represents the shell; PDB 7BOK / EMD-30131 represents the cargo and EMD-30132 the complete loaded particle, so 7BOK is not listed as a shell structure_id. Later tdNfsB-loaded shell structures 9FN9 / 9FNA retain the same global T=1 architecture and differ mainly in five-fold pore conformation, so they are not treated as separate assemblies. No distinct cargo-free WT assembly has been structurally characterized for this accession.</x:t>
  </x:si>
  <x:si>
    <x:t xml:space="preserve">https://doi.org/10.1073/pnas.2025658118</x:t>
  </x:si>
  <x:si>
    <x:t xml:space="preserve">assemblies.assembly_id=A0R4H0_ref</x:t>
  </x:si>
  <x:si>
    <x:t xml:space="preserve">EV2026_A_0042</x:t>
  </x:si>
  <x:si>
    <x:t xml:space="preserve">construct=BmEnc shell; variant_status=wild_type; assembly_symmetry=icosahedral; T_number=4; T_number_basis=directly_reported; shell_subunit_count=240; curated_notes=Canonical recombinant cargo-free WT T=4 BmEnc assembly. McIver 2024 identified BmEnc as a T=4 encapsulin; 
PDB 9FY6 / EMD-50859 provides a 2.82 Å cryo-EM structure of an icosahedral homo-240-mer expressed in E. coli BL21(DE3). No quantitative shell diameter, inner diameter, wall thickness, or inner volume was directly reported in the public structural record, so these fields are left blank. BmEnc is an IMEF-type system, but no native IMEF-loaded BmEnc assembly has been structurally characterized. Kwon et al. 2026 showed post-assembly in vitro loading of CLP-tagged heterologous cargo into BmEnc without demonstrating a distinct global shell architecture, so this loaded preparation is not treated as a separate assembly.</x:t>
  </x:si>
  <x:si>
    <x:t xml:space="preserve">assemblies.assembly_id=I3E3I1_ref</x:t>
  </x:si>
  <x:si>
    <x:t xml:space="preserve">EV2026_A_0043</x:t>
  </x:si>
  <x:si>
    <x:t xml:space="preserve">construct=M. hassiacum encapsulin; variant_status=wild_type; assembly_symmetry=icosahedral; T_number=1; T_number_basis=directly_reported; shell_subunit_count=60; shell_diameter_nm=23; wall_thickness_nm=2-2.5; curated_notes=Canonical recombinant cargo-free WT T=1 EncMh assembly. Loncar et al. 2020 directly reported a 60-subunit icosahedral 
capsid; cryo-EM particles were ~22 nm and the 2.5 Å crystal structure 6I9G measured 23 nm with a 2.0–2.5 nm protein layer. The oligomeric shell remained stable up to 50 °C, but this is not a Tm. Heterologous cargo-loaded preparations and later EncMh fusion/loading applications are not treated as separate assemblies because no distinct shell architecture was demonstrated.</x:t>
  </x:si>
  <x:si>
    <x:t xml:space="preserve">https://doi.org/10.1016/j.bbrc.2020.06.059</x:t>
  </x:si>
  <x:si>
    <x:t xml:space="preserve">assemblies.assembly_id=K5BEG2_ref</x:t>
  </x:si>
  <x:si>
    <x:t xml:space="preserve">EV2026_A_0044</x:t>
  </x:si>
  <x:si>
    <x:t xml:space="preserve">construct=K. pneumoniae encapsulin; variant_status=wild_type; assembly_symmetry=icosahedral; T_number=1; T_number_basis=directly_reported; shell_subunit_count=60; shell_diameter_nm=24; curated_notes=Canonical cognate DyP-loaded WT T=1 KpEnc assembly. Jones, Andreas &amp; Giessen 2024 directly reported a 24 nm 
icosahedral shell composed of 60 KpEnc subunits. PDB 8U50 / EMD-41905 represents the WT shell coexpressed with cognate full-length KpDyP cargo, with an average loading of ~12 DyP monomers per shell; most cargo remained flexible and was not resolved in the icosahedrally averaged shell model. PDB 8U51 / EMD-41906 represents the same WT T=1 shell loaded with heterologous SUMO fused to the native DyP targeting peptide to increase targeting-peptide occupancy and resolve the TP-shell interaction; this engineered cargo-loading condition is not treated as a distinct assembly because the global shell architecture is unchanged. PDB 8U4Z / EMD-41904 represents isolated KpDyP cargo and is not a shell assembly.</x:t>
  </x:si>
  <x:si>
    <x:t xml:space="preserve">https://doi.org/10.1038/s41467-024-46880-x</x:t>
  </x:si>
  <x:si>
    <x:t xml:space="preserve">assemblies.assembly_id=A0AAT8XUH9_ref</x:t>
  </x:si>
  <x:si>
    <x:t xml:space="preserve">EV2026_A_0045</x:t>
  </x:si>
  <x:si>
    <x:t xml:space="preserve">construct=R. rubrum encapsulin; variant_status=wild_type; assembly_symmetry=icosahedral; T_number=1; T_number_basis=inferred_from_subunit_count; shell_subunit_count=60; shell_diameter_nm=24.6; curated_notes=Canonical recombinant cargo-free WT T=1 R. rubrum encapsulin assembly. He et al. 2016 measured empty recombinant 
particles at 24.6 ± 2.0 nm by negative-stain TEM. McIver et al. 2026 resolved the empty shell by cryo-EM as an icosahedral homo-60-mer at 2.0 Å (PDB 9RY4 / EMD-54372); T=1 is assigned from the experimentally established 60-subunit icosahedral architecture. PDB 9RY7 / EMD-54373 is a focused closed five-fold pentamer derived from the same empty cage and is treated as a local pore structure rather than a separate assembly.</x:t>
  </x:si>
  <x:si>
    <x:t xml:space="preserve">assemblies.assembly_id=Q2RVS0_ref</x:t>
  </x:si>
  <x:si>
    <x:t xml:space="preserve">EV2026_A_0046</x:t>
  </x:si>
  <x:si>
    <x:t xml:space="preserve">construct=R. rubrum encapsulin; variant_status=wild_type; assembly_symmetry=icosahedral; T_number=1; T_number_basis=inferred_from_subunit_count; shell_subunit_count=60; shell_diameter_nm=23.9; curated_notes=Biologically relevant cognate EncFtn-loaded WT T=1 assembly. He et al. 2016 measured coexpressed EncFtn-Enc 
particles at 23.9 ± 2.2 nm by negative-stain TEM. McIver et al. 2026 resolved the loaded shell by cryo-EM and showed an icosahedral 60-subunit architecture with greater five-fold pore flexibility than the empty shell; cargo loading was heterogeneous, with up to five EncFtn decamers per cage. PDB 9RZM / EMD-54404 represents the loaded shell reconstruction, while PDB 9SQR / EMD-55116 is a symmetry-relaxed loaded nanocompartment containing the 60-subunit shell and resolved EncFtn cargo. Focused open/closed pentamer structures 9S05 and 9RZU are treated as pore conformations, not separate assemblies.</x:t>
  </x:si>
  <x:si>
    <x:t xml:space="preserve">assemblies.assembly_id=Q2RVS0_T1_EncFtn_loaded</x:t>
  </x:si>
  <x:si>
    <x:t xml:space="preserve">EV2026_A_0047</x:t>
  </x:si>
  <x:si>
    <x:t xml:space="preserve">construct=R. jostii RHA1 shell; variant_status=wild_type; assembly_symmetry=icosahedral; T_number=1; T_number_basis=other_supported_inference; shell_subunit_count=60; shell_diameter_nm=22; curated_notes=Canonical experimentally assembled WT R. jostii RHA1 encapsulin. Rahmanpour &amp; Bugg 2013 reported a high-Mr particle
 (~1.8 MDa by calibrated gel filtration) and a ~22 nm DLS particle size. The paper inconsistently refers to the DLS value as radius and diameter; because it directly compares 22 nm with the 24 nm diameter of T. maritima, 22 nm is retained here as the reported particle diameter with this ambiguity noted. Jones &amp; Giessen 2021 classify the R. jostii shell as a 60-subunit T=1 encapsulin; icosahedral symmetry, T=1 and 60 subunits are therefore recorded as supported inferences rather than direct structural measurements. Acid-induced disassembly and neutral-pH reassembly produced a ~31 nm DLS particle, but this was not structurally characterized as a distinct expanded assembly.</x:t>
  </x:si>
  <x:si>
    <x:t xml:space="preserve">assemblies.assembly_id=Q0SE23_ref</x:t>
  </x:si>
  <x:si>
    <x:t xml:space="preserve">EV2026_A_0048</x:t>
  </x:si>
  <x:si>
    <x:t xml:space="preserve">construct=R. jostii RHA1 shell; variant_status=wild_type; assembly_symmetry=icosahedral; T_number=1; T_number_basis=other_supported_inference; shell_subunit_count=60; curated_notes=Experimentally reconstituted cognate DypB-loaded WT nanocompartment. The Enc-DypB complex eluted at a retention time 
similar to the encapsulin-only particle and contained both proteins, with a measured encapsulin:DypB molar ratio of 8.6:1. The loaded complex also showed enhanced lignin-degradation activity per mole of DypB. A 60-shell-subunit/6-DypB model was proposed by comparison with T. maritima rather than directly determined for Q0SE23. Jones &amp; Giessen 2021 classify the R. jostii shell as a 60-subunit T=1 encapsulin; icosahedral symmetry, T=1 and 60 shell subunits are therefore recorded here as supported inferences. No loaded-state shell diameter was directly measured.</x:t>
  </x:si>
  <x:si>
    <x:t xml:space="preserve">assemblies.assembly_id=Q0SE23_DypB_loaded</x:t>
  </x:si>
  <x:si>
    <x:t xml:space="preserve">EV2026_A_0049</x:t>
  </x:si>
  <x:si>
    <x:t xml:space="preserve">construct=signal-peptide-less cEnc with native N-terminal diheme cytochrome domain; variant_status=wild_type; assembly_symmetry=icosahedral; T_number=3; T_number_basis=inferred_from_subunit_count; shell_subunit_count=180; shell_diameter_nm=33; curated_notes=Canonical recombinant WT T=3 cEnc assembly. Giessen &amp; Silver 2017 placed the K. stuttgartiensis shell in the T=3 class 
and measured 33 nm particles by negative-stain TEM. The N-terminal diheme cytochrome domain is a native fusion and is therefore part of the WT shell protein rather than an engineered modification. The experimental construct omitted the predicted 36-residue N-terminal signal peptide. When the isolated NIR domain of the cognate NIR-HAO protein was coexpressed, ~30 NIR copies co-purified per 180-mer capsid, but this truncated cargo-loading condition did not demonstrate a distinct global shell architecture and is not treated as a separate assembly.</x:t>
  </x:si>
  <x:si>
    <x:t xml:space="preserve">https://doi.org/10.1038/nmicrobiol.2017.29</x:t>
  </x:si>
  <x:si>
    <x:t xml:space="preserve">assemblies.assembly_id=Q1Q6L7_full</x:t>
  </x:si>
  <x:si>
    <x:t xml:space="preserve">EV2026_A_0050</x:t>
  </x:si>
  <x:si>
    <x:t xml:space="preserve">construct=cEnc ΔCyt lacking the N-terminal diheme cytochrome domain; variant_status=engineered; assembly_symmetry=icosahedral; T_number=3; T_number_basis=inferred_from_subunit_count; shell_subunit_count=180; shell_diameter_nm=29; curated_notes=Structurally distinct engineered ΔCyt assembly. Removal of the N-terminal diheme cytochrome domain produced stable 
~29 nm capsids compared with 33 nm WT cEnc, showing that the native fusion domain influences global shell size. The study reports ~15 co-purifying NIR copies per 180-mer ΔCyt capsid when the isolated NIR cargo domain was coexpressed; 180 shell subunits are therefore recorded and T=3 is inferred from the 180-mer icosahedral architecture. The isolated NIR-loaded condition is not treated as a separate assembly because full-length NIR-HAO was insoluble and no distinct cage architecture was demonstrated.</x:t>
  </x:si>
  <x:si>
    <x:t xml:space="preserve">assemblies.assembly_id=Q1Q6L7_delta_cyt</x:t>
  </x:si>
  <x:si>
    <x:t xml:space="preserve">EV2026_A_0051</x:t>
  </x:si>
  <x:si>
    <x:t xml:space="preserve">construct=purified putative encapsulating protein; variant_status=wild_type; curated_notes=Experimentally observed putative WT encapsulin assembly from B. laterosporus Bl 1821L. Babar et al. 2023 identified the 
~30 kDa purified preparation as consistent with A0A502IA18/WP_113757162 and observed predominantly globular or hexagonal capsid-like particles by TEM; related preparations had already shown encapsulin-like particles in Babar et al. 2022. Sequence analysis supports classification as a family 1 encapsulin shell protein. No quantitative particle diameter, T-number, shell subunit count or high-resolution shell structure was determined, so these fields are left blank. N-terminal analysis indicated possible co-migration with an adjacent ~25 kDa hypothetical protein.</x:t>
  </x:si>
  <x:si>
    <x:t xml:space="preserve">assemblies.assembly_id=A0A502IA18_exp</x:t>
  </x:si>
  <x:si>
    <x:t xml:space="preserve">EV2026_P_0052</x:t>
  </x:si>
  <x:si>
    <x:t xml:space="preserve">pore_record</x:t>
  </x:si>
  <x:si>
    <x:t xml:space="preserve">construct=EncA; variant_status=wild_type; pore_type=2fold; pore_state=closed; dynamic_status=single_state_observed; condition=recombinant empty T=3  shell expressed in E. coli</x:t>
  </x:si>
  <x:si>
    <x:t xml:space="preserve">https://doi.org/10.1016/j.str.2022.01.008</x:t>
  </x:si>
  <x:si>
    <x:t xml:space="preserve">pores.pore_record_id=Q1D6H4_p2; assembly_id=Q1D6H4_T3</x:t>
  </x:si>
  <x:si>
    <x:t xml:space="preserve">EV2026_P_0053</x:t>
  </x:si>
  <x:si>
    <x:t xml:space="preserve">construct=EncA; variant_status=wild_type; pore_type=3fold; pore_state=open; pore_diameter_nm=0.36; diameter_basis=reported_diameter; dynamic_status=single_state_observed; charge_exterior=positive; charge_interior=negative; condition=recombinant empty T=3 shell expressed in E. coli</x:t>
  </x:si>
  <x:si>
    <x:t xml:space="preserve">nm</x:t>
  </x:si>
  <x:si>
    <x:t xml:space="preserve">pores.pore_record_id=Q1D6H4_p3; assembly_id=Q1D6H4_T3</x:t>
  </x:si>
  <x:si>
    <x:t xml:space="preserve">EV2026_P_0054</x:t>
  </x:si>
  <x:si>
    <x:t xml:space="preserve">construct=EncA; variant_status=wild_type; pore_type=5fold; pore_state=open; pore_diameter_nm=0.64; diameter_basis=reported_diameter; dynamic_status=demonstrated; charge_exterior=negative; charge_interior=neutral; condition=recombinant empty T=3 shell expressed in E. coli</x:t>
  </x:si>
  <x:si>
    <x:t xml:space="preserve">pores.pore_record_id=Q1D6H4_p5; assembly_id=Q1D6H4_T3</x:t>
  </x:si>
  <x:si>
    <x:t xml:space="preserve">EV2026_P_0055</x:t>
  </x:si>
  <x:si>
    <x:t xml:space="preserve">construct=EncA; variant_status=wild_type; pore_type=2fold; pore_state=closed; dynamic_status=single_state_observed; condition=recombinant SNAP-tag-TP-loaded shell expressed in E. coli; curated_notes=Purified protein was stored in 20 mM Tris, 150 mM NaCl, pH 7.5 prior to structural analysis</x:t>
  </x:si>
  <x:si>
    <x:t xml:space="preserve">pores.pore_record_id=Q1D6H4_T3_loaded_p2; assembly_id=Q1D6H4_T3_loaded</x:t>
  </x:si>
  <x:si>
    <x:t xml:space="preserve">EV2026_P_0056</x:t>
  </x:si>
  <x:si>
    <x:t xml:space="preserve">construct=EncA; variant_status=wild_type; pore_type=3fold; pore_state=open; pore_diameter_nm=0.5; diameter_basis=reported_diameter; dynamic_status=single_state_observed; charge_exterior=positive; charge_interior=negative; condition=recombinant SNAP-tag-TP-loaded shell expressed in E. coli; curated_notes=3-fold pore located at the center of the hexameric facet.</x:t>
  </x:si>
  <x:si>
    <x:t xml:space="preserve">pores.pore_record_id=Q1D6H4_T3_loaded_p3; assembly_id=Q1D6H4_T3_loaded</x:t>
  </x:si>
  <x:si>
    <x:t xml:space="preserve">EV2026_P_0057</x:t>
  </x:si>
  <x:si>
    <x:t xml:space="preserve">construct=EncA; variant_status=wild_type; pore_type=5fold; pore_state=open; pore_diameter_nm=0.7; diameter_basis=reported_diameter; dynamic_status=single_state_observed; charge_exterior=negative; charge_interior=neutral; condition=recombinant SNAP-tag-TP-loaded shell expressed in E. coli; curated_notes=5-fold pore located at the center of the pentameric facet.</x:t>
  </x:si>
  <x:si>
    <x:t xml:space="preserve">pores.pore_record_id=Q1D6H4_T3_loaded_p5; assembly_id=Q1D6H4_T3_loaded</x:t>
  </x:si>
  <x:si>
    <x:t xml:space="preserve">EV2026_P_0058</x:t>
  </x:si>
  <x:si>
    <x:t xml:space="preserve">construct=3×His-MxEnc (K199H/T200H/G201H); variant_status=engineered; pore_type=2fold; pore_state=open; diameter_basis=other; dynamic_status=single_state_observed; charge_exterior=not_reported; charge_interior=not_reported; condition=recombinant empty tetrahedral 3×His-MxEnc shell expressed in E. coli; curated_notes=Novel twofold-symmetric interaction at each tetrahedral edge creates a large elongated pore with approximate dimensions of 15 × 30 Å (1.5 × 3.0 nm)</x:t>
  </x:si>
  <x:si>
    <x:t xml:space="preserve">pores.pore_record_id=Q1D6H4_3xHis_Tet_p2; assembly_id=Q1D6H4_3xHis_Tet</x:t>
  </x:si>
  <x:si>
    <x:t xml:space="preserve">EV2026_P_0059</x:t>
  </x:si>
  <x:si>
    <x:t xml:space="preserve">construct=Mx_pmut (ΔI195–L202 + GG); variant_status=engineered; pore_type=3fold; pore_state=open; diameter_basis=other; dynamic_status=single_state_observed; charge_interior=negative; condition=recombinant SNAP-tag-TP-loaded pore-engineered shell expressed in E. coli; curated_notes=anisotropic opening 13.3 × 21.6 Å. HOLE minimum: 12.1 Å. Exterior less charged; interior/transit slightly negative.</x:t>
  </x:si>
  <x:si>
    <x:t xml:space="preserve">pores.pore_record_id=Q1D6H4_pmut_T3_p3; assembly_id=Q1D6H4_pmut_T3</x:t>
  </x:si>
  <x:si>
    <x:t xml:space="preserve">EV2026_P_0060</x:t>
  </x:si>
  <x:si>
    <x:t xml:space="preserve">construct=Mx_pmut (ΔI195–L202 + GG); variant_status=engineered; pore_type=5fold; pore_state=open; pore_diameter_nm=1.26; diameter_basis=reported_diameter; dynamic_status=single_state_observed; charge_interior=negative; condition=recombinant SNAP-tag-TP-loaded pore-engineered shell expressed in E. coli; curated_notes=atomic-model diameter 12.6 Å. HOLE minimum: 9.6 Å. Exterior less charged; interior/transit slightly negative.</x:t>
  </x:si>
  <x:si>
    <x:t xml:space="preserve">pores.pore_record_id=Q1D6H4_pmut_T3_p5; assembly_id=Q1D6H4_pmut_T3</x:t>
  </x:si>
  <x:si>
    <x:t xml:space="preserve">EV2026_P_0061</x:t>
  </x:si>
  <x:si>
    <x:t xml:space="preserve">construct=Mx_pmut (ΔI195–L202 + GG); variant_status=engineered; pore_type=3fold; pore_state=open; diameter_basis=other; dynamic_status=single_state_observed; charge_interior=negative; condition=recombinant SNAP-tag-TP-loaded pore-engineered shell expressed in E. coli; curated_notes=anisotropic opening 13.7 × 30.6 Å. HOLE minimum: 11.5 Å. Exterior less charged; interior/transit slightly negative.</x:t>
  </x:si>
  <x:si>
    <x:t xml:space="preserve">pores.pore_record_id=Q1D6H4_pmut_T4_p3; assembly_id=Q1D6H4_pmut_T4</x:t>
  </x:si>
  <x:si>
    <x:t xml:space="preserve">EV2026_P_0062</x:t>
  </x:si>
  <x:si>
    <x:t xml:space="preserve">construct=Mx_pmut (ΔI195–L202 + GG); variant_status=engineered; pore_type=5fold; pore_state=open; pore_diameter_nm=1.36; diameter_basis=reported_diameter; dynamic_status=single_state_observed; charge_interior=negative; condition=recombinant SNAP-tag-TP-loaded pore-engineered shell expressed in E. coli; curated_notes=atomic-model diameter 13.6 Å. HOLE minimum: 10.6 Å. Exterior less charged; interior/transit slightly negative.</x:t>
  </x:si>
  <x:si>
    <x:t xml:space="preserve">pores.pore_record_id=Q1D6H4_pmut_T4_p5; assembly_id=Q1D6H4_pmut_T4</x:t>
  </x:si>
  <x:si>
    <x:t xml:space="preserve">EV2026_P_0063</x:t>
  </x:si>
  <x:si>
    <x:t xml:space="preserve">construct=Enc ; variant_status=wild_type; pore_type=5fold; pore_state=open; pore_diameter_nm=0.29; diameter_basis=narrowest_point; dynamic_status=single_state_observed; charge_exterior=negative; charge_interior=positive; condition=native WT shell purified from T. maritima; curated_notes=HOLE minimum: 2.9 Å. Negative exterior entrance; positively charged interior surface.</x:t>
  </x:si>
  <x:si>
    <x:t xml:space="preserve">pores.pore_record_id=Q9WZP2_p5; assembly_id=Q9WZP2_ref</x:t>
  </x:si>
  <x:si>
    <x:t xml:space="preserve">EV2026_P_0064</x:t>
  </x:si>
  <x:si>
    <x:t xml:space="preserve">construct=S1R pore variant; variant_status=engineered; pore_type=5fold; pore_state=open; pore_diameter_nm=0.35; diameter_basis=narrowest_point; dynamic_status=single_state_observed; charge_exterior=positive; charge_interior=positive; condition=recombinant cargo-free pore-engineered shell expressed in E. coli; curated_notes=HOLE minimum: 3.5 Å. Positive exterior and interior; Y191 forms the narrowest region.</x:t>
  </x:si>
  <x:si>
    <x:t xml:space="preserve">pores.pore_record_id=Q9WZP2_S1R_p5; assembly_id=Q9WZP2_S1R_T1</x:t>
  </x:si>
  <x:si>
    <x:t xml:space="preserve">EV2026_P_0065</x:t>
  </x:si>
  <x:si>
    <x:t xml:space="preserve">construct=S1K pore variant; variant_status=engineered; pore_type=5fold; pore_state=open; pore_diameter_nm=0.4; diameter_basis=narrowest_point; dynamic_status=single_state_observed; charge_exterior=positive; charge_interior=positive; condition=recombinant cargo-free pore-engineered shell expressed in E. coli; curated_notes=HOLE minimum: 4.0 Å. Positive exterior and interior; Y191 forms the narrowest region.</x:t>
  </x:si>
  <x:si>
    <x:t xml:space="preserve">pores.pore_record_id=Q9WZP2_S1K_p5; assembly_id=Q9WZP2_S1K_T1</x:t>
  </x:si>
  <x:si>
    <x:t xml:space="preserve">EV2026_P_0066</x:t>
  </x:si>
  <x:si>
    <x:t xml:space="preserve">construct=S3E pore variant; variant_status=engineered; pore_type=5fold; pore_state=open; pore_diameter_nm=0.55; diameter_basis=narrowest_point; dynamic_status=single_state_observed; charge_exterior=negative; charge_interior=negative; condition=recombinant cargo-free pore-engineered shell expressed in E. coli; curated_notes=HOLE minimum: 5.5 Å. Strongly negative pore channel and both entrances.</x:t>
  </x:si>
  <x:si>
    <x:t xml:space="preserve">pores.pore_record_id=Q9WZP2_S3E_p5; assembly_id=Q9WZP2_S3E_T1</x:t>
  </x:si>
  <x:si>
    <x:t xml:space="preserve">EV2026_P_0067</x:t>
  </x:si>
  <x:si>
    <x:t xml:space="preserve">construct=S5D pore variant; variant_status=engineered; pore_type=5fold; pore_state=open; pore_diameter_nm=1.07; diameter_basis=narrowest_point; dynamic_status=single_state_observed; charge_exterior=negative; charge_interior=positive; condition=recombinant cargo-free pore-engineered shell expressed in E. coli; curated_notes=HOLE minimum: 10.7 Å. Strongly negative exterior/channel; K195 contributes positive charge at the interior entrance.</x:t>
  </x:si>
  <x:si>
    <x:t xml:space="preserve">pores.pore_record_id=Q9WZP2_S5D_p5; assembly_id=Q9WZP2_S5D_T1</x:t>
  </x:si>
  <x:si>
    <x:t xml:space="preserve">EV2026_P_0068</x:t>
  </x:si>
  <x:si>
    <x:t xml:space="preserve">construct=S7D pore variant; variant_status=engineered; pore_type=5fold; pore_state=open; pore_diameter_nm=1.01; diameter_basis=narrowest_point; dynamic_status=single_state_observed; charge_exterior=negative; charge_interior=not_reported; condition=recombinant cargo-free pore-engineered shell expressed in E. coli; curated_notes=HOLE minimum: 10.1 Å. Negative exterior entrance; pore channel partially neutralized.</x:t>
  </x:si>
  <x:si>
    <x:t xml:space="preserve">pores.pore_record_id=Q9WZP2_S7D_p5; assembly_id=Q9WZP2_S7D_T1</x:t>
  </x:si>
  <x:si>
    <x:t xml:space="preserve">EV2026_P_0069</x:t>
  </x:si>
  <x:si>
    <x:t xml:space="preserve">construct=S6E pore variant; variant_status=engineered; pore_type=5fold; pore_state=open; pore_diameter_nm=0.67; diameter_basis=narrowest_point; dynamic_status=single_state_observed; charge_exterior=positive; charge_interior=mixed; condition=recombinant cargo-free pore-engineered shell expressed in E. coli; curated_notes=HOLE minimum: 6.7 Å. Positive exterior/channel; electrostatic profile similar to S7G, with mixed contributions at the interior opening.</x:t>
  </x:si>
  <x:si>
    <x:t xml:space="preserve">pores.pore_record_id=Q9WZP2_S6E_p5; assembly_id=Q9WZP2_S6E_T1</x:t>
  </x:si>
  <x:si>
    <x:t xml:space="preserve">EV2026_P_0070</x:t>
  </x:si>
  <x:si>
    <x:t xml:space="preserve">construct=S7G pore-loop deletion variant; variant_status=engineered; pore_type=5fold; pore_state=open; pore_diameter_nm=1.13; diameter_basis=narrowest_point; dynamic_status=single_state_observed; charge_exterior=positive; charge_interior=mixed; condition=recombinant cargo-free pore-engineered shell expressed in E. coli; curated_notes=HOLE minimum: 11.3 Å. Highly positive exterior/channel; negative E199 and positive K195 contributions balance at the interior opening</x:t>
  </x:si>
  <x:si>
    <x:t xml:space="preserve">pores.pore_record_id=Q9WZP2_S7G_p5; assembly_id=Q9WZP2_S7G_T1</x:t>
  </x:si>
  <x:si>
    <x:t xml:space="preserve">EV2026_P_0071</x:t>
  </x:si>
  <x:si>
    <x:t xml:space="preserve">construct=Enc; variant_status=wild_type; pore_type=5fold; pore_state=open; pore_diameter_nm=0.48; diameter_basis=narrowest_point; dynamic_status=single_state_observed; charge_exterior=not_reported; charge_interior=not_reported; condition=recombinant cargo-free WT shell expressed in E. coli; curated_notes=Minimum radius 2.4 Å; diameter calculated as 4.8 Å (0.48 nm). His187 is poorly resolved, suggesting local conformational flexibility.</x:t>
  </x:si>
  <x:si>
    <x:t xml:space="preserve">pores.pore_record_id=Q9WZP2_T1_empty_p5; assembly_id=Q9WZP2_T1_empty</x:t>
  </x:si>
  <x:si>
    <x:t xml:space="preserve">EV2026_P_0072</x:t>
  </x:si>
  <x:si>
    <x:t xml:space="preserve">construct=Enc; variant_status=wild_type; pore_type=3fold; pore_state=open; pore_diameter_nm=0.58; diameter_basis=narrowest_point; dynamic_status=single_state_observed; charge_exterior=not_reported; charge_interior=not_reported; condition=recombinant cargo-free WT shell expressed in E. coli; curated_notes=Minimum radius 2.9 Å; diameter calculated as 5.8 Å (0.58 nm). Interior Phe8 residues may restrict transport.</x:t>
  </x:si>
  <x:si>
    <x:t xml:space="preserve">pores.pore_record_id=Q9WZP2_T1_empty_p3; assembly_id=Q9WZP2_T1_empty</x:t>
  </x:si>
  <x:si>
    <x:t xml:space="preserve">EV2026_P_0073</x:t>
  </x:si>
  <x:si>
    <x:t xml:space="preserve">construct=Enc; variant_status=wild_type; pore_type=2fold_adjacent; pore_state=open; pore_diameter_nm=0.4; diameter_basis=other; dynamic_status=single_state_observed; charge_exterior=not_reported; charge_interior=not_reported; condition=recombinant cargo-free WT shell expressed in E. coli; curated_notes=Two dimer-interface channels with radius 2.0 Å; diameter calculated as 4.0 Å (0.40 nm). Lined by hydrophilic residues.</x:t>
  </x:si>
  <x:si>
    <x:t xml:space="preserve">pores.pore_record_id=Q9WZP2_T1_empty_p2a_large; assembly_id=Q9WZP2_T1_empty</x:t>
  </x:si>
  <x:si>
    <x:t xml:space="preserve">EV2026_P_0074</x:t>
  </x:si>
  <x:si>
    <x:t xml:space="preserve">construct=Enc; variant_status=wild_type; pore_type=2fold_adjacent; pore_state=open; pore_diameter_nm=0.24; diameter_basis=other; dynamic_status=single_state_observed; charge_exterior=not_reported; charge_interior=not_reported; condition=recombinant cargo-free WT shell expressed in E. coli; curated_notes=One dimer-interface channel with radius 1.2 Å; diameter calculated as 2.4 Å (0.24 nm). Lined by hydrophilic residues.</x:t>
  </x:si>
  <x:si>
    <x:t xml:space="preserve">pores.pore_record_id=Q9WZP2_T1_empty_p2a_small; assembly_id=Q9WZP2_T1_empty</x:t>
  </x:si>
  <x:si>
    <x:t xml:space="preserve">EV2026_P_0075</x:t>
  </x:si>
  <x:si>
    <x:t xml:space="preserve">construct=Enc; variant_status=wild_type; pore_type=5fold; pore_state=open; pore_diameter_nm=0.9; diameter_basis=reported_diameter; dynamic_status=single_state_observed; charge_exterior=positive; charge_interior=neutral; condition=recombinant WT shell expressed in E. coli; low-pH disassembly followed by 
neutral-pH reassembly; curated_notes=Central 5-fold pore; reported diameter 9 Å. Slightly positive exterior and neutral interior.</x:t>
  </x:si>
  <x:si>
    <x:t xml:space="preserve">pores.pore_record_id=I6WZG6_p5; assembly_id=I6WZG6_ref</x:t>
  </x:si>
  <x:si>
    <x:t xml:space="preserve">EV2026_P_0076</x:t>
  </x:si>
  <x:si>
    <x:t xml:space="preserve">construct=Enc; variant_status=wild_type; pore_type=3fold; pore_state=open; pore_diameter_nm=0.6; diameter_basis=reported_diameter; dynamic_status=single_state_observed; charge_exterior=not_reported; charge_interior=not_reported; condition=recombinant WT shell expressed in E. coli; low-pH disassembly followed by 
neutral-pH reassembly; curated_notes=Central 3-fold pore; reported diameter 6 Å. Pore described overall as slightly negatively charged.</x:t>
  </x:si>
  <x:si>
    <x:t xml:space="preserve">pores.pore_record_id=I6WZG6_p3; assembly_id=I6WZG6_ref</x:t>
  </x:si>
  <x:si>
    <x:t xml:space="preserve">EV2026_P_0077</x:t>
  </x:si>
  <x:si>
    <x:t xml:space="preserve">construct=Enc; variant_status=wild_type; pore_type=2fold_adjacent; pore_state=open; pore_diameter_nm=0.9; diameter_basis=reported_diameter; dynamic_status=single_state_observed; charge_exterior=not_reported; charge_interior=not_reported; condition=recombinant WT shell expressed in E. coli; low-pH disassembly followed by 
neutral-pH reassembly; curated_notes=Large pore at the interface between two Enc subunits within the pentamer; reported diameter 9 Å. Pore described overall as negatively charged.</x:t>
  </x:si>
  <x:si>
    <x:t xml:space="preserve">pores.pore_record_id=I6WZG6_p2a_large; assembly_id=I6WZG6_ref</x:t>
  </x:si>
  <x:si>
    <x:t xml:space="preserve">EV2026_P_0078</x:t>
  </x:si>
  <x:si>
    <x:t xml:space="preserve">construct=Enc; variant_status=wild_type; pore_type=2fold_adjacent; pore_state=open; pore_diameter_nm=0.5; diameter_basis=reported_diameter; dynamic_status=single_state_observed; charge_exterior=not_reported; charge_interior=not_reported; condition=recombinant WT shell expressed in E. coli; low-pH disassembly followed by 
neutral-pH reassembly; curated_notes=Small pore at the interface between two Enc subunits within the pentamer; reported diameter 5 Å. Pore described overall as more neutral.</x:t>
  </x:si>
  <x:si>
    <x:t xml:space="preserve">pores.pore_record_id=I6WZG6_p2a_small; assembly_id=I6WZG6_ref</x:t>
  </x:si>
  <x:si>
    <x:t xml:space="preserve">EV2026_P_0079</x:t>
  </x:si>
  <x:si>
    <x:t xml:space="preserve">construct=Enc; variant_status=wild_type; pore_type=5fold; pore_state=open; pore_diameter_nm=0.36; diameter_basis=narrowest_point; dynamic_status=demonstrated; condition=recombinant DyP-loaded WT T=1 shell expressed in E. coli; curated_notes=Five-fold major pore; CAVER bottleneck diameter 3.6 Å. Only slightly open and substantially less open than the corresponding pore in 
cryo-EM Mtb-Enc structures. Electrostatics are pH-dependent: exterior positive at pH 4.5 and strongly negative at neutral pH; interior neutral-to-slightly negative at pH 4.5 and negative-to-neutral at neutral pH.</x:t>
  </x:si>
  <x:si>
    <x:t xml:space="preserve">https://doi.org/10.3390/microorganisms12122465</x:t>
  </x:si>
  <x:si>
    <x:t xml:space="preserve">pores.pore_record_id=I6WZG6_DyP_9BKX_p5; assembly_id=I6WZG6_T1_DyP_loaded</x:t>
  </x:si>
  <x:si>
    <x:t xml:space="preserve">EV2026_P_0080</x:t>
  </x:si>
  <x:si>
    <x:t xml:space="preserve">construct=Enc; variant_status=wild_type; pore_type=5fold; pore_state=open; pore_diameter_nm=0.73; diameter_basis=narrowest_point; dynamic_status=demonstrated; condition=recombinant DyP-loaded WT T=1 shell expressed in E. coli; curated_notes=Five-fold major pore; CAVER bottleneck diameter 7.3 Å. Significantly more open than the corresponding pore in 9BKX. Electrostatics are 
pH-dependent: exterior positive at pH 4.5 and neutral-to-negative at neutral pH; interior positive at low pH and negative-to-neutral at neutral pH.</x:t>
  </x:si>
  <x:si>
    <x:t xml:space="preserve">pores.pore_record_id=I6WZG6_DyP_8PYS_p5; assembly_id=I6WZG6_T1_DyP_loaded</x:t>
  </x:si>
  <x:si>
    <x:t xml:space="preserve">EV2026_P_0081</x:t>
  </x:si>
  <x:si>
    <x:t xml:space="preserve">construct=Enc; variant_status=wild_type; pore_type=5fold_adjacent; pore_state=open; pore_diameter_nm=0.34; diameter_basis=narrowest_point; dynamic_status=single_state_observed; condition=recombinant DyP-loaded WT T=1 shell expressed in E. coli; curated_notes=Five-fold minor pore adjacent to the major five-fold pore; MOLE bottleneck diameter 3.4 ± 0.8 Å. Electrostatics are pH-dependent: exterior and 
interior are strongly negative at pH 7, while the pore is overall slightly negative at pH 4.5.</x:t>
  </x:si>
  <x:si>
    <x:t xml:space="preserve">pores.pore_record_id=I6WZG6_DyP_9BKX_p5a; assembly_id=I6WZG6_T1_DyP_loaded</x:t>
  </x:si>
  <x:si>
    <x:t xml:space="preserve">EV2026_P_0082</x:t>
  </x:si>
  <x:si>
    <x:t xml:space="preserve">construct=Enc; variant_status=wild_type; pore_type=5fold_adjacent; pore_state=open; pore_diameter_nm=0.28; diameter_basis=narrowest_point; dynamic_status=single_state_observed; condition=recombinant DyP-loaded WT T=1 shell expressed in E. coli; curated_notes=Five-fold minor pore adjacent to the major five-fold pore; MOLE bottleneck diameter 2.8 ± 0.3 Å. Electrostatics are pH-dependent: exterior and 
interior are strongly negative at pH 7 and become more neutral at low pH.</x:t>
  </x:si>
  <x:si>
    <x:t xml:space="preserve">pores.pore_record_id=I6WZG6_DyP_8PYS_p5a; assembly_id=I6WZG6_T1_DyP_loaded</x:t>
  </x:si>
  <x:si>
    <x:t xml:space="preserve">EV2026_P_0083</x:t>
  </x:si>
  <x:si>
    <x:t xml:space="preserve">construct=Enc; variant_status=wild_type; pore_type=3fold; pore_state=open; pore_diameter_nm=0.72; diameter_basis=narrowest_point; dynamic_status=single_state_observed; charge_exterior=negative; charge_interior=negative; condition=recombinant WT IMEF cargo-loaded compartment expressed in E. coli; curated_notes=Largest shell channel; additional central density may represent ions/water or symmetry averaging.</x:t>
  </x:si>
  <x:si>
    <x:t xml:space="preserve">pores.pore_record_id=A0A0F5HPP7_p3; assembly_id=A0A0F5HPP7_ref</x:t>
  </x:si>
  <x:si>
    <x:t xml:space="preserve">EV2026_P_0084</x:t>
  </x:si>
  <x:si>
    <x:t xml:space="preserve">construct=Enc; variant_status=wild_type; pore_type=5fold; pore_state=open; dynamic_status=single_state_observed; charge_exterior=negative; charge_interior=negative; condition=recombinant WT IMEF cargo-loaded compartment expressed in E. coli; curated_notes=Local loop flexibility suggests possible gating.</x:t>
  </x:si>
  <x:si>
    <x:t xml:space="preserve">pores.pore_record_id=A0A0F5HPP7_p5; assembly_id=A0A0F5HPP7_ref</x:t>
  </x:si>
  <x:si>
    <x:t xml:space="preserve">EV2026_P_0085</x:t>
  </x:si>
  <x:si>
    <x:t xml:space="preserve">construct=Enc; variant_status=wild_type; pore_type=pseudo_3fold_PHH; pore_state=open; dynamic_status=single_state_observed; charge_exterior=negative; charge_interior=negative; condition=recombinant WT IMEF cargo-loaded compartment expressed in E. coli; curated_notes=Located at the interface between two hexameric and one pentameric capsomer.</x:t>
  </x:si>
  <x:si>
    <x:t xml:space="preserve">pores.pore_record_id=A0A0F5HPP7_pseudo3; assembly_id=A0A0F5HPP7_ref</x:t>
  </x:si>
  <x:si>
    <x:t xml:space="preserve">EV2026_P_0086</x:t>
  </x:si>
  <x:si>
    <x:t xml:space="preserve">construct=Enc:EncFtn; variant_status=wild_type; pore_type=5fold; pore_state=open; pore_diameter_nm=1.5; diameter_basis=reported_diameter; dynamic_status=demonstrated; charge_exterior=negative; charge_interior=positive; condition=recombinant EncFtn-loaded WT shell expressed in E. coli; curated_notes=Wide conformation; five-fold aperture expands to ~15 Å.</x:t>
  </x:si>
  <x:si>
    <x:t xml:space="preserve">pores.pore_record_id=D0LZ74_p5_wide; assembly_id=D0LZ74_ref</x:t>
  </x:si>
  <x:si>
    <x:t xml:space="preserve">EV2026_P_0087</x:t>
  </x:si>
  <x:si>
    <x:t xml:space="preserve">construct=Enc:EncFtn; variant_status=wild_type; pore_type=5fold; pore_state=open; pore_diameter_nm=0.5; diameter_basis=reported_diameter; dynamic_status=demonstrated; charge_exterior=negative; charge_interior=positive; condition=recombinant EncFtn-loaded WT shell expressed in E. coli; curated_notes=Narrow conformation, termed "closed" by Ross et al.; a ~5 Å aperture remains.</x:t>
  </x:si>
  <x:si>
    <x:t xml:space="preserve">pores.pore_record_id=D0LZ74_p5_narrow; assembly_id=D0LZ74_ref</x:t>
  </x:si>
  <x:si>
    <x:t xml:space="preserve">EV2026_P_0088</x:t>
  </x:si>
  <x:si>
    <x:t xml:space="preserve">construct=SrpI shell; variant_status=wild_type; pore_type=5fold; pore_state=open; pore_diameter_nm=0.37; diameter_basis=narrowest_point; dynamic_status=single_state_observed; charge_exterior=positive; charge_interior=neutral; condition=recombinant WT SrpI shell refolded in vitro in the presence of CyD; 
CyD-loaded (holo); curated_notes=Gly194 and Pro196 form the constriction; Arg192 and Arg304 contribute to the positively charged exterior.</x:t>
  </x:si>
  <x:si>
    <x:t xml:space="preserve">pores.pore_record_id=Q55032_p5; assembly_id=Q55032_ref</x:t>
  </x:si>
  <x:si>
    <x:t xml:space="preserve">EV2026_P_0089</x:t>
  </x:si>
  <x:si>
    <x:t xml:space="preserve">construct=full-length ferritin-like–encapsulin 
fusion protein; variant_status=wild_type; pore_type=5fold; pore_state=open; pore_diameter_nm=0.5; diameter_basis=other; dynamic_status=single_state_observed; charge_exterior=not_reported; charge_interior=not_reported; condition=native WT full-length fusion particles purified from P. furiosus DSM 3638; curated_notes=Approximate pore diameter from later structural analysis of 2E0Z.</x:t>
  </x:si>
  <x:si>
    <x:t xml:space="preserve">pores.pore_record_id=Q8U1L4_p5; assembly_id=Q8U1L4_ref</x:t>
  </x:si>
  <x:si>
    <x:t xml:space="preserve">EV2026_P_0090</x:t>
  </x:si>
  <x:si>
    <x:t xml:space="preserve">construct=Enc; variant_status=wild_type; pore_type=3fold; pore_state=open; diameter_basis=range; dynamic_status=single_state_observed; charge_exterior=not_reported; charge_interior=not_reported; condition=nonloaded WT encapsulin (nl-E); curated_notes=Pores ~5–8 Å in diameter at/around the 3-fold axes (EMD-3608).</x:t>
  </x:si>
  <x:si>
    <x:t xml:space="preserve">https://doi.org/10.1021/acsnano.7b07669</x:t>
  </x:si>
  <x:si>
    <x:t xml:space="preserve">pores.pore_record_id=Q45296_ref_p3; assembly_id=Q45296_ref</x:t>
  </x:si>
  <x:si>
    <x:t xml:space="preserve">EV2026_P_0091</x:t>
  </x:si>
  <x:si>
    <x:t xml:space="preserve">construct=Enc; variant_status=wild_type; pore_type=3fold; pore_state=open; diameter_basis=range; dynamic_status=single_state_observed; condition=DyP-loaded WT encapsulin (DyP-E); curated_notes=Pores ~5–8 Å in diameter at/around the 3-fold axes; DyP density connects at one 3-fold axis (EMD-3612/3613).</x:t>
  </x:si>
  <x:si>
    <x:t xml:space="preserve">pores.pore_record_id=Q45296_DyP_p3; assembly_id=Q45296_T1_DyP_loaded</x:t>
  </x:si>
  <x:si>
    <x:t xml:space="preserve">EV2026_P_0092</x:t>
  </x:si>
  <x:si>
    <x:t xml:space="preserve">construct=AaEnc shell; variant_status=wild_type; pore_type=5fold; pore_state=open; pore_diameter_nm=2; diameter_basis=reported_diameter; dynamic_status=demonstrated; charge_exterior=not_reported; charge_interior=not_reported; pH=7.5; condition=recombinant cargo-free WT shell expressed in E. coli; curated_notes=Paper-defined open conformation; ~32% of particles at pH 7.5.</x:t>
  </x:si>
  <x:si>
    <x:t xml:space="preserve">pores.pore_record_id=K7RV67_p5_wide_75; assembly_id=K7RV67_ref</x:t>
  </x:si>
  <x:si>
    <x:t xml:space="preserve">EV2026_P_0093</x:t>
  </x:si>
  <x:si>
    <x:t xml:space="preserve">construct=AaEnc shell; variant_status=wild_type; pore_type=5fold; pore_state=open; pore_diameter_nm=0.5; diameter_basis=reported_diameter; dynamic_status=demonstrated; charge_exterior=not_reported; charge_interior=not_reported; pH=7.5; condition=recombinant cargo-free WT shell expressed in E. coli; curated_notes=Paper-defined closed conformation despite measurable aperture; ~68% of particles at pH 7.5.</x:t>
  </x:si>
  <x:si>
    <x:t xml:space="preserve">pores.pore_record_id=K7RV67_p5_narrow_75; assembly_id=K7RV67_ref</x:t>
  </x:si>
  <x:si>
    <x:t xml:space="preserve">EV2026_P_0094</x:t>
  </x:si>
  <x:si>
    <x:t xml:space="preserve">construct=AaEnc shell; variant_status=wild_type; pore_type=5fold; pore_state=open; dynamic_status=demonstrated; charge_exterior=not_reported; charge_interior=not_reported; pH=3.0; condition=recombinant cargo-free WT shell expressed in E. coli; curated_notes=Only the paper-defined closed conformation observed; structurally similar to 8DN9 (protomer RMSD 0.32 Å).</x:t>
  </x:si>
  <x:si>
    <x:t xml:space="preserve">pores.pore_record_id=K7RV67_p5_narrow_30; assembly_id=K7RV67_ref</x:t>
  </x:si>
  <x:si>
    <x:t xml:space="preserve">EV2026_P_0095</x:t>
  </x:si>
  <x:si>
    <x:t xml:space="preserve">construct=DendroEnc shell; variant_status=wild_type; pore_type=5fold; pore_state=open; pore_diameter_nm=1; diameter_basis=reported_diameter; dynamic_status=single_state_observed; charge_exterior=not_reported; charge_interior=not_reported; condition=recombinant cargo-free WT DendroEnc expressed in E. coli; curated_notes=Pore lined by hydrophilic Thr/Asn residues; no hydrophobic inner barrier.</x:t>
  </x:si>
  <x:si>
    <x:t xml:space="preserve">pores.pore_record_id=A0A1G9WS71_p5; assembly_id=A0A1G9WS71_ref</x:t>
  </x:si>
  <x:si>
    <x:t xml:space="preserve">EV2026_P_0096</x:t>
  </x:si>
  <x:si>
    <x:t xml:space="preserve">construct=N198W pore variant; variant_status=engineered; pore_type=5fold; pore_state=open; pore_diameter_nm=0.5; diameter_basis=reported_diameter; dynamic_status=single_state_observed; charge_exterior=not_reported; charge_interior=not_reported; condition=recombinant N198W DendroEnc coexpressed with CyanoPOX-TP in E. coli;
 CyanoPOX-loaded; curated_notes=Five W198 residues constrict the pore; CyanoPOX-loaded mutant showed ~5-fold lower ABTS activity than loaded WT.</x:t>
  </x:si>
  <x:si>
    <x:t xml:space="preserve">pores.pore_record_id=A0A1G9WS71_N198W_p5; assembly_id=A0A1G9WS71_N198W_T4</x:t>
  </x:si>
  <x:si>
    <x:t xml:space="preserve">EV2026_P_0097</x:t>
  </x:si>
  <x:si>
    <x:t xml:space="preserve">construct=N198W pore variant; variant_status=engineered; pore_type=hexamer_center; pore_state=closed; dynamic_status=single_state_observed; charge_exterior=not_reported; charge_interior=not_reported; condition=recombinant N198W DendroEnc coexpressed with CyanoPOX-TP in E. coli;
 CyanoPOX-loaded; curated_notes=W198 forms a hydrophobic barrier occluding the hexamer-center pore.</x:t>
  </x:si>
  <x:si>
    <x:t xml:space="preserve">pores.pore_record_id=A0A1G9WS71_N198W_p6; assembly_id=A0A1G9WS71_N198W_T4</x:t>
  </x:si>
  <x:si>
    <x:t xml:space="preserve">EV2026_P_0098</x:t>
  </x:si>
  <x:si>
    <x:t xml:space="preserve">construct=CFP-29 shell; variant_status=wild_type; pore_type=5fold; pore_state=open; pore_diameter_nm=0.68; diameter_basis=reported_diameter; dynamic_status=single_state_observed; charge_exterior=positive; condition=native WT DyP-loaded encapsulin purified from M. smegmatis mc2 155; curated_notes=Tang: 6.8 Å after van der Waals correction; Cuthbert: 6.9 Å by CAVER. Interior charge varies with pH.</x:t>
  </x:si>
  <x:si>
    <x:t xml:space="preserve">pores.pore_record_id=A0R4H0_p5; assembly_id=A0R4H0_ref</x:t>
  </x:si>
  <x:si>
    <x:t xml:space="preserve">EV2026_P_0099</x:t>
  </x:si>
  <x:si>
    <x:t xml:space="preserve">construct=CFP-29 shell; variant_status=wild_type; pore_type=5fold_adjacent; pore_state=open; pore_diameter_nm=0.22; diameter_basis=narrowest_point; dynamic_status=single_state_observed; condition=native WT DyP-loaded encapsulin purified from M. smegmatis mc2 155; curated_notes=Five-fold minor pore; electrostatic charges vary with modeled pH.</x:t>
  </x:si>
  <x:si>
    <x:t xml:space="preserve">pores.pore_record_id=A0R4H0_p5_adjacent; assembly_id=A0R4H0_ref</x:t>
  </x:si>
  <x:si>
    <x:t xml:space="preserve">EV2026_P_0100</x:t>
  </x:si>
  <x:si>
    <x:t xml:space="preserve">construct=CFP-29 shell; variant_status=wild_type; pore_type=5fold; pore_state=open; dynamic_status=demonstrated; charge_exterior=not_reported; charge_interior=not_reported; condition=recombinant WT shell loaded with engineered tdNfsB in E. coli; curated_notes=Paper-defined open conformation; 8.2 Å was measured for the icosahedrally averaged model, not independently for the isolated open state.</x:t>
  </x:si>
  <x:si>
    <x:t xml:space="preserve">https://doi.org/10.1039/D4CB00127C</x:t>
  </x:si>
  <x:si>
    <x:t xml:space="preserve">pores.pore_record_id=A0R4H0_tdNfsB_p5_wide; assembly_id=A0R4H0_ref</x:t>
  </x:si>
  <x:si>
    <x:t xml:space="preserve">EV2026_P_0101</x:t>
  </x:si>
  <x:si>
    <x:t xml:space="preserve">construct=CFP-29 shell; variant_status=wild_type; pore_type=5fold; pore_state=open; pore_diameter_nm=0.462; diameter_basis=reported_diameter; dynamic_status=demonstrated; charge_exterior=not_reported; charge_interior=not_reported; condition=recombinant WT shell loaded with engineered tdNfsB in E. coli; curated_notes=Paper-defined closed conformation retains a 4.62 Å aperture; His188 loop displacement.</x:t>
  </x:si>
  <x:si>
    <x:t xml:space="preserve">pores.pore_record_id=A0R4H0_tdNfsB_p5_narrow; assembly_id=A0R4H0_ref</x:t>
  </x:si>
  <x:si>
    <x:t xml:space="preserve">EV2026_P_0102</x:t>
  </x:si>
  <x:si>
    <x:t xml:space="preserve">construct=EncMh; variant_status=wild_type; pore_type=5fold; pore_state=open; pore_diameter_nm=0.8; diameter_basis=reported_diameter; dynamic_status=single_state_observed; charge_exterior=not_reported; charge_interior=not_reported; condition=recombinant cargo-free WT EncMh expressed in E. coli; curated_notes=His187–Gly188–Tyr189 and Arg197 line the pore; sulfate bound at its entrance.</x:t>
  </x:si>
  <x:si>
    <x:t xml:space="preserve">pores.pore_record_id=K5BEG2_p5; assembly_id=K5BEG2_ref</x:t>
  </x:si>
  <x:si>
    <x:t xml:space="preserve">EV2026_P_0103</x:t>
  </x:si>
  <x:si>
    <x:t xml:space="preserve">construct=EncMh; variant_status=wild_type; pore_type=2fold_adjacent; pore_state=open; pore_diameter_nm=0.9; diameter_basis=reported_diameter; dynamic_status=single_state_observed; charge_exterior=not_reported; charge_interior=not_reported; condition=recombinant cargo-free WT EncMh expressed in E. coli; curated_notes=Larger intersubunit pore (Fig. S6).</x:t>
  </x:si>
  <x:si>
    <x:t xml:space="preserve">pores.pore_record_id=K5BEG2_p2a_large; assembly_id=K5BEG2_ref</x:t>
  </x:si>
  <x:si>
    <x:t xml:space="preserve">EV2026_P_0104</x:t>
  </x:si>
  <x:si>
    <x:t xml:space="preserve">construct=EncMh; variant_status=wild_type; pore_type=2fold_adjacent; pore_state=open; pore_diameter_nm=0.5; diameter_basis=reported_diameter; dynamic_status=single_state_observed; charge_exterior=not_reported; charge_interior=not_reported; condition=recombinant cargo-free WT EncMh expressed in E. coli; curated_notes=Smaller intersubunit pore (Fig. S6).</x:t>
  </x:si>
  <x:si>
    <x:t xml:space="preserve">pores.pore_record_id=K5BEG2_p2a_small; assembly_id=K5BEG2_ref</x:t>
  </x:si>
  <x:si>
    <x:t xml:space="preserve">EV2026_P_0105</x:t>
  </x:si>
  <x:si>
    <x:t xml:space="preserve">construct=KpEnc shell; variant_status=wild_type; pore_type=5fold; pore_state=open; pore_diameter_nm=0.9; diameter_basis=reported_diameter; dynamic_status=single_state_observed; charge_exterior=negative; charge_interior=positive; pH=7.5; condition=recombinant WT KpEnc coexpressed with cognate KpDyP in E. coli BL21(DE3);
 DyP-loaded; curated_notes=Relatively neutral electrostatic potential at the pore midpoint.</x:t>
  </x:si>
  <x:si>
    <x:t xml:space="preserve">pores.pore_record_id=A0AAT8XUH9_p5; assembly_id=A0AAT8XUH9_ref</x:t>
  </x:si>
  <x:si>
    <x:t xml:space="preserve">EV2026_P_0106</x:t>
  </x:si>
  <x:si>
    <x:t xml:space="preserve">construct=KpEnc shell; variant_status=wild_type; pore_type=3fold; pore_state=open; pore_diameter_nm=0.3; diameter_basis=reported_diameter; dynamic_status=single_state_observed; charge_exterior=not_reported; charge_interior=not_reported; pH=7.5; condition=recombinant WT KpEnc coexpressed with cognate KpDyP in E. coli BL21(DE3);
 DyP-loaded</x:t>
  </x:si>
  <x:si>
    <x:t xml:space="preserve">pores.pore_record_id=A0AAT8XUH9_p3; assembly_id=A0AAT8XUH9_ref</x:t>
  </x:si>
  <x:si>
    <x:t xml:space="preserve">EV2026_P_0107</x:t>
  </x:si>
  <x:si>
    <x:t xml:space="preserve">construct=Enc; variant_status=wild_type; pore_type=5fold; pore_state=open; dynamic_status=demonstrated; pH=8; condition=recombinant WT Enc coexpressed with cognate EncFtn in E. coli; EncFtn-loaded; curated_notes=Focused open 5-fold conformation; a second, paper-defined closed conformation was resolved (9RZU).</x:t>
  </x:si>
  <x:si>
    <x:t xml:space="preserve">https://doi.org/10.1016/j.jsb.2026.108357</x:t>
  </x:si>
  <x:si>
    <x:t xml:space="preserve">pores.pore_record_id=Q2RVS0_EncFtn_p5_open; assembly_id=Q2RVS0_T1_EncFtn_loaded</x:t>
  </x:si>
  <x:si>
    <x:t xml:space="preserve">EV2026_D_0108</x:t>
  </x:si>
  <x:si>
    <x:t xml:space="preserve">databank.candidate_id=Q1D6H4</x:t>
  </x:si>
  <x:si>
    <x:t xml:space="preserve">EV2026_D_0109</x:t>
  </x:si>
  <x:si>
    <x:t xml:space="preserve">databank.candidate_id=Q9WZP2</x:t>
  </x:si>
  <x:si>
    <x:t xml:space="preserve">EV2026_D_0110</x:t>
  </x:si>
  <x:si>
    <x:t xml:space="preserve">databank.candidate_id=I6WZG6</x:t>
  </x:si>
  <x:si>
    <x:t xml:space="preserve">EV2026_D_0111</x:t>
  </x:si>
  <x:si>
    <x:t xml:space="preserve">databank.candidate_id=A0A0F5HPP7</x:t>
  </x:si>
  <x:si>
    <x:t xml:space="preserve">EV2026_D_0112</x:t>
  </x:si>
  <x:si>
    <x:t xml:space="preserve">databank.candidate_id=D0LZ74</x:t>
  </x:si>
  <x:si>
    <x:t xml:space="preserve">EV2026_D_0113</x:t>
  </x:si>
  <x:si>
    <x:t xml:space="preserve">databank.candidate_id=Q55032</x:t>
  </x:si>
  <x:si>
    <x:t xml:space="preserve">EV2026_D_0114</x:t>
  </x:si>
  <x:si>
    <x:t xml:space="preserve">databank.candidate_id=Q8U1L4</x:t>
  </x:si>
  <x:si>
    <x:t xml:space="preserve">EV2026_D_0115</x:t>
  </x:si>
  <x:si>
    <x:t xml:space="preserve">databank.candidate_id=Q45296</x:t>
  </x:si>
  <x:si>
    <x:t xml:space="preserve">EV2026_D_0116</x:t>
  </x:si>
  <x:si>
    <x:t xml:space="preserve">databank.candidate_id=K7RV67</x:t>
  </x:si>
  <x:si>
    <x:t xml:space="preserve">EV2026_D_0117</x:t>
  </x:si>
  <x:si>
    <x:t xml:space="preserve">databank.candidate_id=A0A1G9WS71</x:t>
  </x:si>
  <x:si>
    <x:t xml:space="preserve">EV2026_D_0118</x:t>
  </x:si>
  <x:si>
    <x:t xml:space="preserve">databank.candidate_id=A0R4H0</x:t>
  </x:si>
  <x:si>
    <x:t xml:space="preserve">EV2026_D_0119</x:t>
  </x:si>
  <x:si>
    <x:t xml:space="preserve">databank.candidate_id=I3E3I1</x:t>
  </x:si>
  <x:si>
    <x:t xml:space="preserve">EV2026_D_0120</x:t>
  </x:si>
  <x:si>
    <x:t xml:space="preserve">databank.candidate_id=K5BEG2</x:t>
  </x:si>
  <x:si>
    <x:t xml:space="preserve">EV2026_D_0121</x:t>
  </x:si>
  <x:si>
    <x:t xml:space="preserve">databank.candidate_id=A0AAT8XUH9</x:t>
  </x:si>
  <x:si>
    <x:t xml:space="preserve">EV2026_D_0122</x:t>
  </x:si>
  <x:si>
    <x:t xml:space="preserve">databank.candidate_id=A5IJ00</x:t>
  </x:si>
  <x:si>
    <x:t xml:space="preserve">EV2026_D_0123</x:t>
  </x:si>
  <x:si>
    <x:t xml:space="preserve">databank.candidate_id=B1L7S2</x:t>
  </x:si>
  <x:si>
    <x:t xml:space="preserve">EV2026_D_0124</x:t>
  </x:si>
  <x:si>
    <x:t xml:space="preserve">databank.candidate_id=C0ZVK4</x:t>
  </x:si>
  <x:si>
    <x:t xml:space="preserve">EV2026_D_0125</x:t>
  </x:si>
  <x:si>
    <x:t xml:space="preserve">databank.candidate_id=I3NID5</x:t>
  </x:si>
  <x:si>
    <x:t xml:space="preserve">EV2026_D_0126</x:t>
  </x:si>
  <x:si>
    <x:t xml:space="preserve">databank.candidate_id=P46841</x:t>
  </x:si>
  <x:si>
    <x:t xml:space="preserve">EV2026_D_0127</x:t>
  </x:si>
  <x:si>
    <x:t xml:space="preserve">databank.candidate_id=Q2RVS0</x:t>
  </x:si>
  <x:si>
    <x:t xml:space="preserve">EV2026_D_0128</x:t>
  </x:si>
  <x:si>
    <x:t xml:space="preserve">databank.candidate_id=Q48899</x:t>
  </x:si>
  <x:si>
    <x:t xml:space="preserve">EV2026_D_0129</x:t>
  </x:si>
  <x:si>
    <x:t xml:space="preserve">databank.candidate_id=Q743F5</x:t>
  </x:si>
  <x:si>
    <x:t xml:space="preserve">EV2026_D_0130</x:t>
  </x:si>
  <x:si>
    <x:t xml:space="preserve">databank.candidate_id=Q0SE23</x:t>
  </x:si>
  <x:si>
    <x:t xml:space="preserve">EV2026_D_0131</x:t>
  </x:si>
  <x:si>
    <x:t xml:space="preserve">databank.candidate_id=Q1Q6L7</x:t>
  </x:si>
  <x:si>
    <x:t xml:space="preserve">table</x:t>
  </x:si>
  <x:si>
    <x:t xml:space="preserve">record_id</x:t>
  </x:si>
  <x:si>
    <x:t xml:space="preserve">citation_label</x:t>
  </x:si>
  <x:si>
    <x:t xml:space="preserve">doi</x:t>
  </x:si>
  <x:si>
    <x:t xml:space="preserve">doi_url</x:t>
  </x:si>
  <x:si>
    <x:t xml:space="preserve">relationship</x:t>
  </x:si>
  <x:si>
    <x:t xml:space="preserve">McHugh et al. 2014</x:t>
  </x:si>
  <x:si>
    <x:t xml:space="preserve">10.15252/embj.201488566</x:t>
  </x:si>
  <x:si>
    <x:t xml:space="preserve">https://doi.org/10.15252/embj.201488566</x:t>
  </x:si>
  <x:si>
    <x:t xml:space="preserve">record-specific source</x:t>
  </x:si>
  <x:si>
    <x:t xml:space="preserve">Eren et al. 2024</x:t>
  </x:si>
  <x:si>
    <x:t xml:space="preserve">10.1073/pnas.2400426121</x:t>
  </x:si>
  <x:si>
    <x:t xml:space="preserve">https://doi.org/10.1073/pnas.2400426121</x:t>
  </x:si>
  <x:si>
    <x:t xml:space="preserve">cargo-protein context</x:t>
  </x:si>
  <x:si>
    <x:t xml:space="preserve">EncD ferric reductase study; not a direct shell pore measurement.</x:t>
  </x:si>
  <x:si>
    <x:t xml:space="preserve">Sutter et al. 2008</x:t>
  </x:si>
  <x:si>
    <x:t xml:space="preserve">10.1038/nsmb.1473</x:t>
  </x:si>
  <x:si>
    <x:t xml:space="preserve">https://doi.org/10.1038/nsmb.1473</x:t>
  </x:si>
  <x:si>
    <x:t xml:space="preserve">Van de Steen et al. 2024</x:t>
  </x:si>
  <x:si>
    <x:t xml:space="preserve">10.1021/acsabm.3c01153</x:t>
  </x:si>
  <x:si>
    <x:t xml:space="preserve">https://doi.org/10.1021/acsabm.3c01153</x:t>
  </x:si>
  <x:si>
    <x:t xml:space="preserve">FLP/FMN: Sci Rep 2021</x:t>
  </x:si>
  <x:si>
    <x:t xml:space="preserve">10.1038/s41598-021-01932-w</x:t>
  </x:si>
  <x:si>
    <x:t xml:space="preserve">https://doi.org/10.1038/s41598-021-01932-w</x:t>
  </x:si>
  <x:si>
    <x:t xml:space="preserve">TEM ~25 nm: eLife 2021</x:t>
  </x:si>
  <x:si>
    <x:t xml:space="preserve">10.7554/eLife.74358</x:t>
  </x:si>
  <x:si>
    <x:t xml:space="preserve">https://doi.org/10.7554/eLife.74358</x:t>
  </x:si>
  <x:si>
    <x:t xml:space="preserve">Akita et al. 2007</x:t>
  </x:si>
  <x:si>
    <x:t xml:space="preserve">https://doi.org/10.1016/j.jmb.2007.02.075</x:t>
  </x:si>
  <x:si>
    <x:t xml:space="preserve">Valdés-Stauber &amp; Scherer 1994</x:t>
  </x:si>
  <x:si>
    <x:t xml:space="preserve">https://doi.org/10.1128/AEM.60.10.3809-3814.1994</x:t>
  </x:si>
  <x:si>
    <x:t xml:space="preserve">historical biological context</x:t>
  </x:si>
  <x:si>
    <x:t xml:space="preserve">Linocin M18 historical paper, not a structural pore measurement.</x:t>
  </x:si>
  <x:si>
    <x:t xml:space="preserve">Giessen 2024</x:t>
  </x:si>
  <x:si>
    <x:t xml:space="preserve">https://doi.org/10.1002/cbic.202400535</x:t>
  </x:si>
  <x:si>
    <x:t xml:space="preserve">review</x:t>
  </x:si>
  <x:si>
    <x:t xml:space="preserve">The primary structural study is Jones et al. 2023 (linked in assemblies/pores).</x:t>
  </x:si>
  <x:si>
    <x:t xml:space="preserve">Tamura et al. 2015</x:t>
  </x:si>
  <x:si>
    <x:t xml:space="preserve">https://doi.org/10.1002/bit.25322</x:t>
  </x:si>
  <x:si>
    <x:t xml:space="preserve">Nichols et al. 2021</x:t>
  </x:si>
  <x:si>
    <x:t xml:space="preserve">He et al. 2016</x:t>
  </x:si>
  <x:si>
    <x:t xml:space="preserve">10.7554/eLife.18972</x:t>
  </x:si>
  <x:si>
    <x:t xml:space="preserve">https://doi.org/10.7554/eLife.18972</x:t>
  </x:si>
  <x:si>
    <x:t xml:space="preserve">Anuchina et al. 2025 bioRxiv</x:t>
  </x:si>
  <x:si>
    <x:t xml:space="preserve">https://doi.org/10.1101/2025.09.13.676036</x:t>
  </x:si>
  <x:si>
    <x:t xml:space="preserve">genomic/putative targeting context</x:t>
  </x:si>
  <x:si>
    <x:t xml:space="preserve">DFLP/encapsulin targeting study; does not alone establish a resolved shell structure for this accession.</x:t>
  </x:si>
  <x:si>
    <x:t xml:space="preserve">Babar et al. 2023</x:t>
  </x:si>
  <x:si>
    <x:t xml:space="preserve">https://doi.org/10.1007/s00253-023-12563-8</x:t>
  </x:si>
  <x:si>
    <x:t xml:space="preserve">Rahmanpour &amp; Bugg 2013</x:t>
  </x:si>
  <x:si>
    <x:t xml:space="preserve">https://doi.org/10.1111/febs.12234</x:t>
  </x:si>
  <x:si>
    <x:t xml:space="preserve">homolog-only context</x:t>
  </x:si>
  <x:si>
    <x:t xml:space="preserve">The study concerns R. jostii RHA1, not a direct experimental characterization of A0A076EZF5.</x:t>
  </x:si>
  <x:si>
    <x:t xml:space="preserve">Yadav &amp; Beck 2026</x:t>
  </x:si>
  <x:si>
    <x:t xml:space="preserve">10.1002/pro.70756</x:t>
  </x:si>
  <x:si>
    <x:t xml:space="preserve">https://doi.org/10.1002/pro.70756</x:t>
  </x:si>
  <x:si>
    <x:t xml:space="preserve">LaFrance et al. 2021</x:t>
  </x:si>
  <x:si>
    <x:t xml:space="preserve">Williams et al. 2018</x:t>
  </x:si>
  <x:si>
    <x:t xml:space="preserve">10.1021/acssynbio.8b00295</x:t>
  </x:si>
  <x:si>
    <x:t xml:space="preserve">https://doi.org/10.1021/acssynbio.8b00295</x:t>
  </x:si>
  <x:si>
    <x:t xml:space="preserve">Lien et al. 2021</x:t>
  </x:si>
  <x:si>
    <x:t xml:space="preserve">Sigmund et al. 2019</x:t>
  </x:si>
  <x:si>
    <x:t xml:space="preserve">10.1021/acsnano.9b03140</x:t>
  </x:si>
  <x:si>
    <x:t xml:space="preserve">https://doi.org/10.1021/acsnano.9b03140</x:t>
  </x:si>
  <x:si>
    <x:t xml:space="preserve">Siddiquee et al. 2026</x:t>
  </x:si>
  <x:si>
    <x:t xml:space="preserve">Namba et al. 2005</x:t>
  </x:si>
  <x:si>
    <x:t xml:space="preserve">10.1093/jb/mvi111</x:t>
  </x:si>
  <x:si>
    <x:t xml:space="preserve">https://doi.org/10.1093/jb/mvi111</x:t>
  </x:si>
  <x:si>
    <x:t xml:space="preserve">Kumamoto et al. 2024</x:t>
  </x:si>
  <x:si>
    <x:t xml:space="preserve">10.1002/chir.23700</x:t>
  </x:si>
  <x:si>
    <x:t xml:space="preserve">https://doi.org/10.1002/chir.23700</x:t>
  </x:si>
  <x:si>
    <x:t xml:space="preserve">Snijder et al. 2016</x:t>
  </x:si>
  <x:si>
    <x:t xml:space="preserve">10.1021/acs.biomac.6b00469</x:t>
  </x:si>
  <x:si>
    <x:t xml:space="preserve">https://doi.org/10.1021/acs.biomac.6b00469</x:t>
  </x:si>
  <x:si>
    <x:t xml:space="preserve">Jones &amp; Giessen 2021</x:t>
  </x:si>
  <x:si>
    <x:t xml:space="preserve">10.1002/bit.27564</x:t>
  </x:si>
  <x:si>
    <x:t xml:space="preserve">https://doi.org/10.1002/bit.27564</x:t>
  </x:si>
  <x:si>
    <x:t xml:space="preserve">Babar et al. 2022</x:t>
  </x:si>
  <x:si>
    <x:t xml:space="preserve">10.3390/pr10101932</x:t>
  </x:si>
  <x:si>
    <x:t xml:space="preserve">https://doi.org/10.3390/pr10101932</x:t>
  </x:si>
  <x:si>
    <x:t xml:space="preserve">charge</x:t>
  </x:si>
  <x:si>
    <x:t xml:space="preserve">removed_action</x:t>
  </x:si>
  <x:si>
    <x:t xml:space="preserve">direct_experimental</x:t>
  </x:si>
  <x:si>
    <x:t xml:space="preserve">UniProt</x:t>
  </x:si>
  <x:si>
    <x:t xml:space="preserve">obsolete</x:t>
  </x:si>
  <x:si>
    <x:t xml:space="preserve">direct_database_annotation</x:t>
  </x:si>
  <x:si>
    <x:t xml:space="preserve">PDB</x:t>
  </x:si>
  <x:si>
    <x:t xml:space="preserve">replaced</x:t>
  </x:si>
  <x:si>
    <x:t xml:space="preserve">type_2B</x:t>
  </x:si>
  <x:si>
    <x:t xml:space="preserve">mutant</x:t>
  </x:si>
  <x:si>
    <x:t xml:space="preserve">unresolved</x:t>
  </x:si>
  <x:si>
    <x:t xml:space="preserve">not_assessed</x:t>
  </x:si>
  <x:si>
    <x:t xml:space="preserve">by_similarity</x:t>
  </x:si>
  <x:si>
    <x:t xml:space="preserve">EMDB</x:t>
  </x:si>
  <x:si>
    <x:t xml:space="preserve">type_3</x:t>
  </x:si>
  <x:si>
    <x:t xml:space="preserve">truncation</x:t>
  </x:si>
  <x:si>
    <x:t xml:space="preserve">paper</x:t>
  </x:si>
  <x:si>
    <x:t xml:space="preserve">type_4A</x:t>
  </x:si>
  <x:si>
    <x:t xml:space="preserve">questionable</x:t>
  </x:si>
  <x:si>
    <x:t xml:space="preserve">fusion</x:t>
  </x:si>
  <x:si>
    <x:t xml:space="preserve">author_inference</x:t>
  </x:si>
  <x:si>
    <x:t xml:space="preserve">preprint</x:t>
  </x:si>
  <x:si>
    <x:t xml:space="preserve">unknown</x:t>
  </x:si>
  <x:si>
    <x:t xml:space="preserve">curator_inference</x:t>
  </x:si>
  <x:si>
    <x:t xml:space="preserve">not_used_context</x:t>
  </x:si>
  <x:si>
    <x:t xml:space="preserve">article_title</x:t>
  </x:si>
  <x:si>
    <x:t xml:space="preserve">verification_scope</x:t>
  </x:si>
  <x:si>
    <x:t xml:space="preserve">linked_record_count</x:t>
  </x:si>
  <x:si>
    <x:t xml:space="preserve">Triggered Reversible Disassembly of an Engineered Protein Nanocage</x:t>
  </x:si>
  <x:si>
    <x:t xml:space="preserve">publisher/primary metadata checked</x:t>
  </x:si>
  <x:si>
    <x:t xml:space="preserve">Packaging guest proteins into the encapsulin nanocompartment from Rhodococcus erythropolis N771</x:t>
  </x:si>
  <x:si>
    <x:t xml:space="preserve">Advances in encapsulin nanocompartment biology and engineering</x:t>
  </x:si>
  <x:si>
    <x:t xml:space="preserve">The Structural Diversity of Encapsulin Protein Shells</x:t>
  </x:si>
  <x:si>
    <x:t xml:space="preserve">Structural Investigations of Cargo Molecules Inside Icosahedrally Symmetric Encapsulin by VUVCD Spectroscopic Measurements</x:t>
  </x:si>
  <x:si>
    <x:t xml:space="preserve">Buffer and salt dependent reassembly pathways of Myxococcus xanthus encapsulin</x:t>
  </x:si>
  <x:si>
    <x:t xml:space="preserve">Linocin M18 protein from the insect pathogenic bacterium Brevibacillus laterosporus isolates</x:t>
  </x:si>
  <x:si>
    <x:t xml:space="preserve">Structure of a robust bacterial protein cage and its application as a versatile biocatalytic platform through enzyme encapsulation</x:t>
  </x:si>
  <x:si>
    <x:t xml:space="preserve">The crystal structure of a virus-like particle from the hyperthermophilic archaeon Pyrococcus furiosus provides insight into the evolution of viruses</x:t>
  </x:si>
  <x:si>
    <x:t xml:space="preserve">Structure and heterogeneity of a highly cargo-loaded encapsulin shell</x:t>
  </x:si>
  <x:si>
    <x:t xml:space="preserve">Single particle cryo-EM analysis of the Rhodospirillum rubrum encapsulin nanocompartment shows variable loading of encapsulated ferritin cargo proteins and differences in the fivefold pore</x:t>
  </x:si>
  <x:si>
    <x:t xml:space="preserve">Structural Characterization of the Myxococcus xanthus Encapsulin and Ferritin-Like Cargo System Gives Insight into its Iron Storage Mechanism</x:t>
  </x:si>
  <x:si>
    <x:t xml:space="preserve">Exploring the Extreme Acid Tolerance of a Dynamic Protein Nanocage</x:t>
  </x:si>
  <x:si>
    <x:t xml:space="preserve">Assembly and Mechanical Properties of the Cargo-Free and Cargo-Loaded Bacterial Nanocompartment Encapsulin</x:t>
  </x:si>
  <x:si>
    <x:t xml:space="preserve">Encapsulation of Transketolase into In Vitro-Assembled Protein Nanocompartments Improves Thermal Stability</x:t>
  </x:si>
  <x:si>
    <x:t xml:space="preserve">Pore Engineering as a General Strategy to Improve Protein-Based Enzyme Nanoreactor Performance</x:t>
  </x:si>
  <x:si>
    <x:t xml:space="preserve">Structural Characterization of Native and Modified Encapsulins as Nanoplatforms for in Vitro Catalysis and Cellular Uptake</x:t>
  </x:si>
  <x:si>
    <x:t xml:space="preserve">Iron-Sequestering Nanocompartments as Multiplexed Electron Microscopy Gene Reporters</x:t>
  </x:si>
  <x:si>
    <x:t xml:space="preserve">Pore Engineering for Enhanced Mass Transport in Encapsulin Nanocompartments</x:t>
  </x:si>
  <x:si>
    <x:t xml:space="preserve">Widespread distribution of encapsulin nanocompartments reveals functional diversity</x:t>
  </x:si>
  <x:si>
    <x:t xml:space="preserve">Structural basis of enzyme encapsulation into a bacterial nanocompartment</x:t>
  </x:si>
  <x:si>
    <x:t xml:space="preserve">Structural basis for peroxidase encapsulation inside the encapsulin from the Gram-negative pathogen Klebsiella pneumoniae</x:t>
  </x:si>
  <x:si>
    <x:t xml:space="preserve">A permeable protein nanocage enables facile cargo loading and cytosolic protein delivery</x:t>
  </x:si>
  <x:si>
    <x:t xml:space="preserve">The encapsulin from Thermotoga maritima is a flavoprotein with a symmetry matched ferritin-like cargo protein</x:t>
  </x:si>
  <x:si>
    <x:t xml:space="preserve">In situ and in vitro cryo-EM reveal structures of mycobacterial encapsulin assembly intermediates</x:t>
  </x:si>
  <x:si>
    <x:t xml:space="preserve">A nanoengineered tandem nitroreductase: designing a robust prodrug-activating nanoreactor</x:t>
  </x:si>
  <x:si>
    <x:t xml:space="preserve">Biocatalytic application and structural elucidation of robust bacterial protein nanocages</x:t>
  </x:si>
  <x:si>
    <x:t xml:space="preserve">Cryo-EM structure of Mycobacterium smegmatis DyP-loaded encapsulin</x:t>
  </x:si>
  <x:si>
    <x:t xml:space="preserve">Point mutation in a virus-like capsid drives symmetry reduction to form tetrahedral cages</x:t>
  </x:si>
  <x:si>
    <x:t xml:space="preserve">Myxococcus xanthus encapsulin cargo protein EncD is a flavin-binding protein with ferric reductase activity</x:t>
  </x:si>
  <x:si>
    <x:t xml:space="preserve">Characterization of a Mycobacterium tuberculosis nanocompartment and its potential cargo proteins</x:t>
  </x:si>
  <x:si>
    <x:t xml:space="preserve">Expression and molecular characterization of spherical particles derived from the genome of the hyperthermophilic euryarchaeote Pyrococcus furiosus</x:t>
  </x:si>
  <x:si>
    <x:t xml:space="preserve">Structural and Functional Characterization of Encapsulin-Targeted Double Ferritin Fold Ferroxidases</x:t>
  </x:si>
  <x:si>
    <x:t xml:space="preserve">Cryo-EM structure of a thermostable bacterial nanocompartment</x:t>
  </x:si>
  <x:si>
    <x:t xml:space="preserve">Assembly in vitro of Rhodococcus jostii RHA1 encapsulin and peroxidase DypB to form a nanocompartment</x:t>
  </x:si>
  <x:si>
    <x:t xml:space="preserve">Pore dynamics and asymmetric cargo loading in an encapsulin nanocompartment</x:t>
  </x:si>
  <x:si>
    <x:t xml:space="preserve">Pore structure controls stability and molecular flux in engineered protein cages</x:t>
  </x:si>
  <x:si>
    <x:t xml:space="preserve">Isolation and characterization of Linocin M18, a bacteriocin produced by Brevibacterium linens</x:t>
  </x:si>
  <x:si>
    <x:t xml:space="preserve">A virus capsid-like nanocompartment that stores iron and protects bacteria from oxidative stress</x:t>
  </x:si>
  <x:si>
    <x:t xml:space="preserve">Structural Characterization of Mycobacterium tuberculosis Encapsulin in Complex with Dye-Decolorizing Peroxide</x:t>
  </x:si>
  <x:si>
    <x:t xml:space="preserve">Purification of High-Molecular-Weight Antibacterial Proteins of Insect Pathogenic Brevibacillus laterosporus Isolates</x:t>
  </x:si>
  <x:si>
    <x:t xml:space="preserve">Directed evolution of multimeric proteins is enabled by dual-compensatory gene duplication</x:t>
  </x:si>
  <x:si>
    <x:t xml:space="preserve">Structural characterization of encapsulated ferritin provides insight into iron storage in bacterial nanocompartments</x:t>
  </x:si>
  <x:si>
    <x:t xml:space="preserve">Large protein organelles form a new iron sequestration system with high storage capacity</x:t>
  </x:si>
  <x:si>
    <x:t xml:space="preserve">Discovery and characterization of a novel family of prokaryotic nanocompartments involved in sulfur metabolism</x:t>
  </x:si>
  <x:si>
    <x:t xml:space="preserve">A nanocompartment system contributes to defense against oxidative stress in Mycobacterium tuberculosis</x:t>
  </x:si>
</x:sst>
</file>

<file path=xl/styles.xml><?xml version="1.0" encoding="utf-8"?>
<x:styleSheet xmlns:x="http://schemas.openxmlformats.org/spreadsheetml/2006/main">
  <x:fonts count="18">
    <x:font>
      <x:sz val="11"/>
      <x:name val="Carlito"/>
    </x:font>
    <x:font>
      <x:sz val="10"/>
      <x:name val="Aptos"/>
    </x:font>
    <x:font>
      <x:b/>
      <x:sz val="10"/>
      <x:color rgb="FFFFFFFF"/>
      <x:name val="Aptos"/>
    </x:font>
    <x:font>
      <x:b/>
      <x:sz val="10"/>
      <x:name val="Aptos"/>
    </x:font>
    <x:font>
      <x:sz val="10"/>
      <x:color rgb="FF7C4800"/>
      <x:name val="Aptos"/>
    </x:font>
    <x:font>
      <x:sz val="10"/>
      <x:color rgb="FF932C2C"/>
      <x:name val="Aptos"/>
    </x:font>
    <x:font>
      <x:sz val="10"/>
      <x:name val="Consolas"/>
    </x:font>
    <x:font>
      <x:sz val="11"/>
      <x:name val="Carlito"/>
    </x:font>
    <x:font>
      <x:b/>
      <x:sz val="11"/>
      <x:name val="Carlito"/>
    </x:font>
    <x:font>
      <x:sz val="10"/>
      <x:name val="Aptos"/>
    </x:font>
    <x:font>
      <x:b/>
      <x:sz val="11"/>
      <x:color rgb="FFFFFFFF"/>
      <x:name val="Carlito"/>
    </x:font>
    <x:font>
      <x:b/>
      <x:sz val="10"/>
      <x:color rgb="FF000000"/>
      <x:name val="Carlito"/>
    </x:font>
    <x:font>
      <x:sz val="11"/>
      <x:color rgb="FFA32032"/>
      <x:name val="Carlito"/>
    </x:font>
    <x:font>
      <x:sz val="11"/>
      <x:color rgb="FF116A41"/>
      <x:name val="Carlito"/>
    </x:font>
    <x:font>
      <x:b/>
      <x:sz val="13"/>
      <x:color rgb="FFFFFFFF"/>
      <x:name val="Carlito"/>
    </x:font>
    <x:font>
      <x:b/>
      <x:sz val="11"/>
      <x:color rgb="FF155E56"/>
      <x:name val="Carlito"/>
    </x:font>
    <x:font>
      <x:b/>
      <x:sz val="11"/>
      <x:color rgb="FF10473F"/>
      <x:name val="Carlito"/>
    </x:font>
    <x:font>
      <x:b/>
      <x:sz val="11"/>
      <x:color rgb="FF262626"/>
      <x:name val="Carlito"/>
    </x:font>
  </x:fonts>
  <x:fills count="20">
    <x:fill>
      <x:patternFill patternType="none"/>
    </x:fill>
    <x:fill>
      <x:patternFill patternType="gray125"/>
    </x:fill>
    <x:fill>
      <x:patternFill patternType="solid">
        <x:fgColor rgb="FF273744"/>
      </x:patternFill>
    </x:fill>
    <x:fill>
      <x:patternFill patternType="solid">
        <x:fgColor rgb="FFF4F6F8"/>
      </x:patternFill>
    </x:fill>
    <x:fill>
      <x:patternFill patternType="solid">
        <x:fgColor rgb="FFFFF0D2"/>
      </x:patternFill>
    </x:fill>
    <x:fill>
      <x:patternFill patternType="solid">
        <x:fgColor rgb="FFFBE6E6"/>
      </x:patternFill>
    </x:fill>
    <x:fill>
      <x:patternFill patternType="solid">
        <x:fgColor theme="0"/>
      </x:patternFill>
    </x:fill>
    <x:fill>
      <x:patternFill patternType="solid">
        <x:fgColor rgb="FF292929"/>
      </x:patternFill>
    </x:fill>
    <x:fill>
      <x:patternFill patternType="solid">
        <x:fgColor rgb="FFEAEAEA"/>
      </x:patternFill>
    </x:fill>
    <x:fill>
      <x:patternFill patternType="solid">
        <x:fgColor rgb="FF134E4A"/>
      </x:patternFill>
    </x:fill>
    <x:fill>
      <x:patternFill patternType="solid">
        <x:fgColor rgb="FF1D5241"/>
      </x:patternFill>
    </x:fill>
    <x:fill>
      <x:patternFill patternType="solid">
        <x:fgColor rgb="FFFFF1F1"/>
      </x:patternFill>
    </x:fill>
    <x:fill>
      <x:patternFill patternType="solid">
        <x:fgColor rgb="FFE9F7EE"/>
      </x:patternFill>
    </x:fill>
    <x:fill>
      <x:patternFill patternType="solid">
        <x:fgColor rgb="FF164E42"/>
      </x:patternFill>
    </x:fill>
    <x:fill>
      <x:patternFill patternType="solid">
        <x:fgColor rgb="FF155E56"/>
      </x:patternFill>
    </x:fill>
    <x:fill>
      <x:patternFill patternType="solid">
        <x:fgColor rgb="FFEAF5F1"/>
      </x:patternFill>
    </x:fill>
    <x:fill>
      <x:patternFill patternType="solid">
        <x:fgColor rgb="FFD6EBE4"/>
      </x:patternFill>
    </x:fill>
    <x:fill>
      <x:patternFill patternType="solid">
        <x:fgColor rgb="FF165943"/>
      </x:patternFill>
    </x:fill>
    <x:fill>
      <x:patternFill patternType="solid">
        <x:fgColor rgb="FFD7B58B"/>
      </x:patternFill>
    </x:fill>
    <x:fill>
      <x:patternFill patternType="solid">
        <x:fgColor rgb="FFFFF2DB"/>
      </x:patternFill>
    </x:fill>
  </x:fills>
  <x:borders count="3">
    <x:border/>
    <x:border/>
    <x:border/>
  </x:borders>
  <x:cellStyleXfs count="2">
    <x:xf numFmtId="0" fontId="0" fillId="0" borderId="0"/>
    <x:xf numFmtId="0" fontId="7" fillId="0" borderId="1"/>
  </x:cellStyleXfs>
  <x:cellXfs count="127">
    <x:xf numFmtId="0" fontId="0" fillId="0" borderId="0" xfId="0"/>
    <x:xf numFmtId="0" fontId="1" fillId="0" borderId="0" xfId="0" applyFont="1" applyAlignment="1">
      <x:alignment vertical="center" wrapText="1"/>
    </x:xf>
    <x:xf numFmtId="0" fontId="2" fillId="2" borderId="0" xfId="0" applyFont="1" applyFill="1" applyAlignment="1">
      <x:alignment vertical="center" wrapText="1"/>
    </x:xf>
    <x:xf numFmtId="0" fontId="1" fillId="3" borderId="0" xfId="0" applyFont="1" applyFill="1" applyAlignment="1">
      <x:alignment vertical="center" wrapText="1"/>
    </x:xf>
    <x:xf numFmtId="0" fontId="3" fillId="0" borderId="0" xfId="0" applyFont="1" applyAlignment="1">
      <x:alignment vertical="center" wrapText="1"/>
    </x:xf>
    <x:xf numFmtId="0" fontId="3" fillId="3" borderId="0" xfId="0" applyFont="1" applyFill="1" applyAlignment="1">
      <x:alignment vertical="center" wrapText="1"/>
    </x:xf>
    <x:xf numFmtId="0" fontId="3" fillId="0" borderId="0" xfId="0" applyFont="1" applyAlignment="1">
      <x:alignment vertical="top" wrapText="1"/>
    </x:xf>
    <x:xf numFmtId="0" fontId="1" fillId="0" borderId="0" xfId="0" applyFont="1" applyAlignment="1">
      <x:alignment vertical="top" wrapText="1"/>
    </x:xf>
    <x:xf numFmtId="0" fontId="1" fillId="0" borderId="0" xfId="0" applyFont="1" applyAlignment="1">
      <x:alignment vertical="top" wrapText="1"/>
      <x:extLst>
        <x:ext uri="{C7286773-470A-42A8-94C5-96B5CB345126}">
          <xfpb:xfComplement xmlns:xfpb="http://schemas.microsoft.com/office/spreadsheetml/2022/featurepropertybag" i="0"/>
        </x:ext>
      </x:extLst>
    </x:xf>
    <x:xf numFmtId="0" fontId="3" fillId="3" borderId="0" xfId="0" applyFont="1" applyFill="1" applyAlignment="1">
      <x:alignment vertical="top" wrapText="1"/>
    </x:xf>
    <x:xf numFmtId="0" fontId="1" fillId="3" borderId="0" xfId="0" applyFont="1" applyFill="1" applyAlignment="1">
      <x:alignment vertical="top" wrapText="1"/>
    </x:xf>
    <x:xf numFmtId="0" fontId="1" fillId="3" borderId="0" xfId="0" applyFont="1" applyFill="1" applyAlignment="1">
      <x:alignment vertical="top" wrapText="1"/>
      <x:extLst>
        <x:ext uri="{C7286773-470A-42A8-94C5-96B5CB345126}">
          <xfpb:xfComplement xmlns:xfpb="http://schemas.microsoft.com/office/spreadsheetml/2022/featurepropertybag" i="0"/>
        </x:ext>
      </x:extLst>
    </x:xf>
    <x:xf numFmtId="0" fontId="4" fillId="4" borderId="0" xfId="0" applyFont="1" applyFill="1" applyAlignment="1">
      <x:alignment vertical="top" wrapText="1"/>
    </x:xf>
    <x:xf numFmtId="49" fontId="3" fillId="0" borderId="0" xfId="0" applyNumberFormat="1" applyFont="1" applyAlignment="1">
      <x:alignment vertical="top" wrapText="1"/>
    </x:xf>
    <x:xf numFmtId="49" fontId="3" fillId="3" borderId="0" xfId="0" applyNumberFormat="1" applyFont="1" applyFill="1" applyAlignment="1">
      <x:alignment vertical="top" wrapText="1"/>
    </x:xf>
    <x:xf numFmtId="49" fontId="1" fillId="0" borderId="0" xfId="0" applyNumberFormat="1" applyFont="1" applyAlignment="1">
      <x:alignment vertical="top" wrapText="1"/>
    </x:xf>
    <x:xf numFmtId="49" fontId="1" fillId="3" borderId="0" xfId="0" applyNumberFormat="1" applyFont="1" applyFill="1" applyAlignment="1">
      <x:alignment vertical="top" wrapText="1"/>
    </x:xf>
    <x:xf numFmtId="0" fontId="5" fillId="5" borderId="0" xfId="0" applyFont="1" applyFill="1" applyAlignment="1">
      <x:alignment vertical="top" wrapText="1"/>
    </x:xf>
    <x:xf numFmtId="0" fontId="6" fillId="0" borderId="0" xfId="0" applyFont="1" applyAlignment="1">
      <x:alignment vertical="top" wrapText="1"/>
    </x:xf>
    <x:xf numFmtId="0" fontId="6" fillId="3" borderId="0" xfId="0" applyFont="1" applyFill="1" applyAlignment="1">
      <x:alignment vertical="top" wrapText="1"/>
    </x:xf>
    <x:xf numFmtId="49" fontId="3" fillId="0" borderId="0" xfId="0" applyNumberFormat="1" applyFont="1" applyAlignment="1">
      <x:alignment vertical="center" wrapText="1"/>
    </x:xf>
    <x:xf numFmtId="49" fontId="3" fillId="3" borderId="0" xfId="0" applyNumberFormat="1" applyFont="1" applyFill="1" applyAlignment="1">
      <x:alignment vertical="center" wrapText="1"/>
    </x:xf>
    <x:xf numFmtId="49" fontId="1" fillId="0" borderId="0" xfId="0" applyNumberFormat="1" applyFont="1" applyAlignment="1">
      <x:alignment vertical="center" wrapText="1"/>
    </x:xf>
    <x:xf numFmtId="49" fontId="1" fillId="3" borderId="0" xfId="0" applyNumberFormat="1" applyFont="1" applyFill="1" applyAlignment="1">
      <x:alignment vertical="center" wrapText="1"/>
    </x:xf>
    <x:xf numFmtId="0" fontId="4" fillId="6" borderId="0" xfId="0" applyFont="1" applyFill="1" applyAlignment="1">
      <x:alignment vertical="top" wrapText="1"/>
    </x:xf>
    <x:xf numFmtId="0" fontId="9" fillId="0" borderId="0" xfId="0" applyFont="1" applyAlignment="1">
      <x:alignment vertical="top" wrapText="1"/>
    </x:xf>
    <x:xf numFmtId="0" fontId="10" fillId="7" borderId="0" xfId="0" applyFont="1" applyFill="1" applyAlignment="1">
      <x:alignment vertical="center" wrapText="1"/>
    </x:xf>
    <x:xf numFmtId="0" fontId="8" fillId="0" borderId="0" xfId="0" applyFont="1" applyAlignment="1">
      <x:alignment vertical="top" wrapText="1"/>
    </x:xf>
    <x:xf numFmtId="0" fontId="0" fillId="0" borderId="0" xfId="0" applyAlignment="1">
      <x:alignment vertical="top" wrapText="1"/>
    </x:xf>
    <x:xf numFmtId="0" fontId="11" fillId="8" borderId="0" xfId="0" applyFont="1" applyFill="1" applyAlignment="1">
      <x:alignment vertical="center" wrapText="1"/>
    </x:xf>
    <x:xf numFmtId="0" fontId="0" fillId="0" borderId="2" xfId="0" applyNumberFormat="1" applyFont="1" applyFill="1" applyBorder="1"/>
    <x:xf numFmtId="0" fontId="1" fillId="0" borderId="2"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1" fillId="3" borderId="2" xfId="0" applyNumberFormat="1" applyFont="1" applyFill="1" applyBorder="1" applyAlignment="1">
      <x:alignment vertical="center" wrapText="1"/>
    </x:xf>
    <x:xf numFmtId="0" fontId="3" fillId="0" borderId="2" xfId="0" applyNumberFormat="1" applyFont="1" applyFill="1" applyBorder="1" applyAlignment="1">
      <x:alignment vertical="center" wrapText="1"/>
    </x:xf>
    <x:xf numFmtId="0" fontId="3" fillId="3" borderId="2" xfId="0" applyNumberFormat="1" applyFont="1" applyFill="1" applyBorder="1" applyAlignment="1">
      <x:alignment vertical="center" wrapText="1"/>
    </x:xf>
    <x:xf numFmtId="0" fontId="3" fillId="0" borderId="2"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3" borderId="2"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4" borderId="2" xfId="0" applyNumberFormat="1" applyFont="1" applyFill="1" applyBorder="1" applyAlignment="1">
      <x:alignment vertical="top" wrapText="1"/>
    </x:xf>
    <x:xf numFmtId="49" fontId="3" fillId="0" borderId="2" xfId="0" applyNumberFormat="1" applyFont="1" applyFill="1" applyBorder="1" applyAlignment="1">
      <x:alignment vertical="top" wrapText="1"/>
    </x:xf>
    <x:xf numFmtId="49" fontId="3" fillId="3" borderId="2" xfId="0" applyNumberFormat="1" applyFont="1" applyFill="1" applyBorder="1" applyAlignment="1">
      <x:alignment vertical="top" wrapText="1"/>
    </x:xf>
    <x:xf numFmtId="49" fontId="1" fillId="0" borderId="2" xfId="0" applyNumberFormat="1" applyFont="1" applyFill="1" applyBorder="1" applyAlignment="1">
      <x:alignment vertical="top" wrapText="1"/>
    </x:xf>
    <x:xf numFmtId="49" fontId="1" fillId="3"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3" borderId="2" xfId="0" applyNumberFormat="1" applyFont="1" applyFill="1" applyBorder="1" applyAlignment="1">
      <x:alignment vertical="top" wrapText="1"/>
    </x:xf>
    <x:xf numFmtId="49" fontId="3" fillId="0" borderId="2" xfId="0" applyNumberFormat="1" applyFont="1" applyFill="1" applyBorder="1" applyAlignment="1">
      <x:alignment vertical="center" wrapText="1"/>
    </x:xf>
    <x:xf numFmtId="49" fontId="3" fillId="3" borderId="2" xfId="0" applyNumberFormat="1" applyFont="1" applyFill="1" applyBorder="1" applyAlignment="1">
      <x:alignment vertical="center" wrapText="1"/>
    </x:xf>
    <x:xf numFmtId="49" fontId="1" fillId="0" borderId="2" xfId="0" applyNumberFormat="1" applyFont="1" applyFill="1" applyBorder="1" applyAlignment="1">
      <x:alignment vertical="center" wrapText="1"/>
    </x:xf>
    <x:xf numFmtId="49" fontId="1" fillId="3" borderId="2" xfId="0" applyNumberFormat="1" applyFont="1" applyFill="1" applyBorder="1" applyAlignment="1">
      <x:alignment vertical="center" wrapText="1"/>
    </x:xf>
    <x:xf numFmtId="0" fontId="4" fillId="6" borderId="2" xfId="0" applyNumberFormat="1" applyFont="1" applyFill="1" applyBorder="1" applyAlignment="1">
      <x:alignment vertical="top" wrapText="1"/>
    </x:xf>
    <x:xf numFmtId="0" fontId="10" fillId="7" borderId="2" xfId="0" applyNumberFormat="1" applyFont="1" applyFill="1" applyBorder="1" applyAlignment="1">
      <x:alignment vertical="center" wrapText="1"/>
    </x:xf>
    <x:xf numFmtId="0" fontId="8"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11" fillId="8" borderId="2" xfId="0" applyNumberFormat="1" applyFont="1" applyFill="1" applyBorder="1" applyAlignment="1">
      <x:alignment vertical="center" wrapText="1"/>
    </x:xf>
    <x:xf numFmtId="0" fontId="0" fillId="9" borderId="0" xfId="0" applyNumberFormat="1" applyFont="1" applyFill="1" applyBorder="1"/>
    <x:xf numFmtId="0" fontId="10" fillId="9" borderId="0" xfId="0" applyNumberFormat="1" applyFont="1" applyFill="1" applyBorder="1"/>
    <x:xf numFmtId="0" fontId="0" fillId="9" borderId="2" xfId="0" applyNumberFormat="1" applyFont="1" applyFill="1" applyBorder="1"/>
    <x:xf numFmtId="0" fontId="10" fillId="9" borderId="2"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4" borderId="0" xfId="0" applyNumberFormat="1" applyFont="1" applyFill="1" applyBorder="1" applyAlignment="1">
      <x:alignment vertical="top" wrapText="1"/>
    </x:xf>
    <x:xf numFmtId="49" fontId="3" fillId="0" borderId="0" xfId="0" applyNumberFormat="1" applyFont="1" applyFill="1" applyBorder="1" applyAlignment="1">
      <x:alignment vertical="top" wrapText="1"/>
    </x:xf>
    <x:xf numFmtId="49" fontId="3" fillId="3" borderId="0" xfId="0" applyNumberFormat="1" applyFont="1" applyFill="1" applyBorder="1" applyAlignment="1">
      <x:alignment vertical="top" wrapText="1"/>
    </x:xf>
    <x:xf numFmtId="49" fontId="1" fillId="0" borderId="0" xfId="0" applyNumberFormat="1" applyFont="1" applyFill="1" applyBorder="1" applyAlignment="1">
      <x:alignment vertical="top" wrapText="1"/>
    </x:xf>
    <x:xf numFmtId="49" fontId="1" fillId="3"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49" fontId="3" fillId="0" borderId="0" xfId="0" applyNumberFormat="1" applyFont="1" applyFill="1" applyBorder="1" applyAlignment="1">
      <x:alignment vertical="center" wrapText="1"/>
    </x:xf>
    <x:xf numFmtId="49" fontId="3" fillId="3" borderId="0" xfId="0" applyNumberFormat="1" applyFont="1" applyFill="1" applyBorder="1" applyAlignment="1">
      <x:alignment vertical="center" wrapText="1"/>
    </x:xf>
    <x:xf numFmtId="49" fontId="1" fillId="0" borderId="0" xfId="0" applyNumberFormat="1" applyFont="1" applyFill="1" applyBorder="1" applyAlignment="1">
      <x:alignment vertical="center" wrapText="1"/>
    </x:xf>
    <x:xf numFmtId="49" fontId="1" fillId="3" borderId="0" xfId="0" applyNumberFormat="1" applyFont="1" applyFill="1" applyBorder="1" applyAlignment="1">
      <x:alignment vertical="center" wrapText="1"/>
    </x:xf>
    <x:xf numFmtId="0" fontId="4" fillId="6" borderId="0" xfId="0" applyNumberFormat="1" applyFont="1" applyFill="1" applyBorder="1" applyAlignment="1">
      <x:alignment vertical="top" wrapText="1"/>
    </x:xf>
    <x:xf numFmtId="0" fontId="10" fillId="7"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1" fillId="8" borderId="0" xfId="0" applyNumberFormat="1" applyFont="1" applyFill="1" applyBorder="1" applyAlignment="1">
      <x:alignment vertical="center" wrapText="1"/>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12"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13" fillId="12"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10" fillId="13" borderId="0" xfId="0" applyNumberFormat="1" applyFont="1" applyFill="1" applyBorder="1" applyAlignment="1">
      <x:alignment vertical="center" wrapText="1"/>
    </x:xf>
    <x:xf numFmtId="0" fontId="0" fillId="14" borderId="0" xfId="0" applyNumberFormat="1" applyFont="1" applyFill="1" applyBorder="1"/>
    <x:xf numFmtId="0" fontId="14" fillId="14" borderId="0" xfId="0" applyNumberFormat="1" applyFont="1" applyFill="1" applyBorder="1"/>
    <x:xf numFmtId="0" fontId="14" fillId="14" borderId="0" xfId="0" applyNumberFormat="1" applyFont="1" applyFill="1" applyBorder="1" applyAlignment="1">
      <x:alignment vertic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5" fillId="16" borderId="0" xfId="0" applyNumberFormat="1" applyFont="1" applyFill="1" applyBorder="1" applyAlignment="1">
      <x:alignment vertical="center"/>
    </x:xf>
    <x:xf numFmtId="0" fontId="0" fillId="16" borderId="0" xfId="0" applyNumberFormat="1" applyFont="1" applyFill="1" applyBorder="1" applyAlignment="1">
      <x:alignment vertical="center" wrapText="1"/>
    </x:xf>
    <x:xf numFmtId="0" fontId="16" fillId="16" borderId="0" xfId="0" applyNumberFormat="1" applyFont="1" applyFill="1" applyBorder="1" applyAlignment="1">
      <x:alignment vertical="center"/>
    </x:xf>
    <x:xf numFmtId="0" fontId="16" fillId="16" borderId="0" xfId="0" applyNumberFormat="1" applyFont="1" applyFill="1" applyBorder="1" applyAlignment="1">
      <x:alignment vertical="center" wrapText="1"/>
    </x:xf>
    <x:xf numFmtId="0" fontId="0" fillId="17" borderId="0" xfId="0" applyNumberFormat="1" applyFont="1" applyFill="1" applyBorder="1"/>
    <x:xf numFmtId="0" fontId="10" fillId="17" borderId="0" xfId="0" applyNumberFormat="1" applyFont="1" applyFill="1" applyBorder="1"/>
    <x:xf numFmtId="0" fontId="10" fillId="17" borderId="0" xfId="0" applyNumberFormat="1" applyFont="1" applyFill="1" applyBorder="1" applyAlignment="1">
      <x:alignment wrapText="1"/>
    </x:xf>
    <x:xf numFmtId="0" fontId="10" fillId="17" borderId="0" xfId="0" applyNumberFormat="1" applyFont="1" applyFill="1" applyBorder="1" applyAlignment="1">
      <x:alignment vertical="center" wrapText="1"/>
    </x:xf>
    <x:xf numFmtId="0" fontId="0" fillId="18" borderId="0" xfId="0" applyNumberFormat="1" applyFont="1" applyFill="1" applyBorder="1"/>
    <x:xf numFmtId="0" fontId="17" fillId="18" borderId="0" xfId="0" applyNumberFormat="1" applyFont="1" applyFill="1" applyBorder="1"/>
    <x:xf numFmtId="0" fontId="17" fillId="18" borderId="0" xfId="0" applyNumberFormat="1" applyFont="1" applyFill="1" applyBorder="1" applyAlignment="1">
      <x:alignment wrapText="1"/>
    </x:xf>
    <x:xf numFmtId="0" fontId="17" fillId="18" borderId="0" xfId="0" applyNumberFormat="1" applyFont="1" applyFill="1" applyBorder="1" applyAlignment="1">
      <x:alignment vertical="center" wrapText="1"/>
    </x:xf>
    <x:xf numFmtId="0" fontId="0" fillId="19" borderId="0" xfId="0" applyNumberFormat="1" applyFont="1" applyFill="1" applyBorder="1"/>
    <x:xf numFmtId="0" fontId="0" fillId="19" borderId="0" xfId="0" applyNumberFormat="1" applyFont="1" applyFill="1" applyBorder="1" applyAlignment="1">
      <x:alignment wrapText="1"/>
    </x:xf>
    <x:xf numFmtId="0" fontId="8" fillId="0" borderId="0" xfId="0" applyNumberFormat="1" applyFont="1" applyFill="1" applyBorder="1"/>
  </x:cellXfs>
  <x:cellStyles count="2">
    <x:cellStyle name="Normal" xfId="0"/>
    <x:cellStyle name="Normal 2" xfId="1"/>
  </x:cellStyles>
  <x:dxfs count="2">
    <x:dxf>
      <x:font>
        <x:b/>
        <x:color rgb="FFAA2F20"/>
      </x:font>
      <x:fill>
        <x:patternFill>
          <x:bgColor rgb="FFFFE2D9"/>
        </x:patternFill>
      </x:fill>
    </x:dxf>
    <x:dxf>
      <x:font>
        <x:b/>
        <x:color rgb="FF126843"/>
      </x:font>
      <x:fill>
        <x:patternFill>
          <x:bgColor rgb="FFDBF2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d85e2a7ee64b98" /><Relationship Type="http://schemas.openxmlformats.org/officeDocument/2006/relationships/theme" Target="/xl/theme/theme1.xml" Id="R26eb0a3f2ef14cb7" /><Relationship Type="http://schemas.microsoft.com/office/2022/11/relationships/FeaturePropertyBag" Target="/xl/featurePropertyBag/featurePropertyBag.xml" Id="R68735b725aec43a2" /><Relationship Type="http://schemas.openxmlformats.org/officeDocument/2006/relationships/sharedStrings" Target="/xl/sharedStrings.xml" Id="Ra29294740a424b7e" /><Relationship Type="http://schemas.openxmlformats.org/officeDocument/2006/relationships/worksheet" Target="/xl/worksheets/sheet1.xml" Id="R5361101e4a184c40" /><Relationship Type="http://schemas.openxmlformats.org/officeDocument/2006/relationships/worksheet" Target="/xl/worksheets/sheet2.xml" Id="R260a8d8d5d6a4758" /><Relationship Type="http://schemas.openxmlformats.org/officeDocument/2006/relationships/worksheet" Target="/xl/worksheets/sheet3.xml" Id="R03c1dbc6846144ca" /><Relationship Type="http://schemas.openxmlformats.org/officeDocument/2006/relationships/worksheet" Target="/xl/worksheets/sheet4.xml" Id="Rccdbcaf74c074db0" /><Relationship Type="http://schemas.openxmlformats.org/officeDocument/2006/relationships/worksheet" Target="/xl/worksheets/sheet5.xml" Id="Ra5d92726294243d9" /><Relationship Type="http://schemas.openxmlformats.org/officeDocument/2006/relationships/worksheet" Target="/xl/worksheets/sheet6.xml" Id="R36c220d8fc3342c1" /><Relationship Type="http://schemas.openxmlformats.org/officeDocument/2006/relationships/worksheet" Target="/xl/worksheets/sheet7.xml" Id="R10e3bbfd82cf4ba4" /><Relationship Type="http://schemas.openxmlformats.org/officeDocument/2006/relationships/worksheet" Target="/xl/worksheets/sheet8.xml" Id="R23997c23031d40a4" /><Relationship Type="http://schemas.openxmlformats.org/officeDocument/2006/relationships/worksheet" Target="/xl/worksheets/sheet9.xml" Id="Red8f15ca325942fe" /><Relationship Type="http://schemas.openxmlformats.org/officeDocument/2006/relationships/worksheet" Target="/xl/worksheets/sheet10.xml" Id="R282b8689a46b44f6" /><Relationship Type="http://schemas.openxmlformats.org/officeDocument/2006/relationships/worksheet" Target="/xl/worksheets/sheet11.xml" Id="R85085c2893e84d7a" /><Relationship Type="http://schemas.openxmlformats.org/officeDocument/2006/relationships/worksheet" Target="/xl/worksheets/sheet12.xml" Id="Rd5457beb3dd24db7" /><Relationship Type="http://schemas.openxmlformats.org/officeDocument/2006/relationships/worksheet" Target="/xl/worksheets/sheet13.xml" Id="Re7b91165aa9942db" /><Relationship Type="http://schemas.openxmlformats.org/officeDocument/2006/relationships/worksheet" Target="/xl/worksheets/sheet14.xml" Id="Rfdcc09c0abc74bf9" /><Relationship Type="http://schemas.openxmlformats.org/officeDocument/2006/relationships/worksheet" Target="/xl/worksheets/sheet15.xml" Id="R874575d44cc14f45" /><Relationship Type="http://schemas.openxmlformats.org/officeDocument/2006/relationships/worksheet" Target="/xl/worksheets/sheet16.xml" Id="R6c02191256824d8a" /><Relationship Type="http://schemas.openxmlformats.org/officeDocument/2006/relationships/worksheet" Target="/xl/worksheets/sheet17.xml" Id="R2bf25cec1a0249e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42.0625" customWidth="1"/>
    <x:col min="2" max="2" width="95" hidden="0" customWidth="1"/>
  </x:cols>
  <x:sheetData>
    <x:row r="1" ht="13.899999618530273">
      <x:c r="A1" s="26" t="s">
        <x:v>0</x:v>
      </x:c>
      <x:c r="B1" s="26" t="s">
        <x:v>1</x:v>
      </x:c>
    </x:row>
    <x:row r="2" ht="13.899999618530273">
      <x:c r="A2" s="27" t="s">
        <x:v>2</x:v>
      </x:c>
      <x:c r="B2" s="28" t="s">
        <x:v>3</x:v>
      </x:c>
    </x:row>
    <x:row r="3" ht="13.899999618530273">
      <x:c r="A3" s="27" t="s">
        <x:v>4</x:v>
      </x:c>
      <x:c r="B3" s="28" t="str">
        <x:v>Public downloadable scientific dataset, field dictionary and curation/audit guide | iGEM ENCORE. See PUBLIC_GUIDE for a readable introduction.</x:v>
      </x:c>
    </x:row>
    <x:row r="4">
      <x:c r="A4" s="29" t="s">
        <x:v>5</x:v>
      </x:c>
      <x:c r="B4" s="29"/>
    </x:row>
    <x:row r="5" ht="54">
      <x:c r="A5" s="27" t="s">
        <x:v>6</x:v>
      </x:c>
      <x:c r="B5" s="28" t="s">
        <x:v>7</x:v>
      </x:c>
    </x:row>
    <x:row r="6" ht="40.5">
      <x:c r="A6" s="27" t="s">
        <x:v>8</x:v>
      </x:c>
      <x:c r="B6" s="28" t="s">
        <x:v>9</x:v>
      </x:c>
    </x:row>
    <x:row r="7">
      <x:c r="A7" s="29" t="s">
        <x:v>10</x:v>
      </x:c>
      <x:c r="B7" s="29"/>
    </x:row>
    <x:row r="8" ht="27">
      <x:c r="A8" s="27" t="s">
        <x:v>11</x:v>
      </x:c>
      <x:c r="B8" s="28" t="s">
        <x:v>12</x:v>
      </x:c>
    </x:row>
    <x:row r="9" ht="40.5">
      <x:c r="A9" s="27" t="s">
        <x:v>13</x:v>
      </x:c>
      <x:c r="B9" s="28" t="s">
        <x:v>14</x:v>
      </x:c>
    </x:row>
    <x:row r="10" ht="27">
      <x:c r="A10" s="27" t="s">
        <x:v>15</x:v>
      </x:c>
      <x:c r="B10" s="28" t="s">
        <x:v>16</x:v>
      </x:c>
    </x:row>
    <x:row r="11" ht="27">
      <x:c r="A11" s="27" t="s">
        <x:v>17</x:v>
      </x:c>
      <x:c r="B11" s="28" t="s">
        <x:v>18</x:v>
      </x:c>
    </x:row>
    <x:row r="12" ht="27">
      <x:c r="A12" s="27" t="s">
        <x:v>19</x:v>
      </x:c>
      <x:c r="B12" s="28" t="s">
        <x:v>20</x:v>
      </x:c>
    </x:row>
    <x:row r="13" ht="27">
      <x:c r="A13" s="27" t="s">
        <x:v>21</x:v>
      </x:c>
      <x:c r="B13" s="28" t="s">
        <x:v>22</x:v>
      </x:c>
    </x:row>
    <x:row r="14" ht="13.899999618530273">
      <x:c r="A14" s="27" t="s">
        <x:v>23</x:v>
      </x:c>
      <x:c r="B14" s="28" t="s">
        <x:v>24</x:v>
      </x:c>
    </x:row>
    <x:row r="15" ht="27">
      <x:c r="A15" s="27" t="s">
        <x:v>25</x:v>
      </x:c>
      <x:c r="B15" s="28" t="s">
        <x:v>26</x:v>
      </x:c>
    </x:row>
    <x:row r="16" ht="13.899999618530273">
      <x:c r="A16" s="27" t="s">
        <x:v>27</x:v>
      </x:c>
      <x:c r="B16" s="28" t="s">
        <x:v>28</x:v>
      </x:c>
    </x:row>
    <x:row r="17">
      <x:c r="A17" s="29" t="s">
        <x:v>29</x:v>
      </x:c>
      <x:c r="B17" s="29"/>
    </x:row>
    <x:row r="18" ht="81">
      <x:c r="A18" s="27" t="s">
        <x:v>30</x:v>
      </x:c>
      <x:c r="B18" s="28" t="s">
        <x:v>31</x:v>
      </x:c>
    </x:row>
    <x:row r="19" ht="67.5">
      <x:c r="A19" s="27" t="s">
        <x:v>32</x:v>
      </x:c>
      <x:c r="B19" s="28" t="s">
        <x:v>33</x:v>
      </x:c>
    </x:row>
    <x:row r="20">
      <x:c r="A20" s="29" t="s">
        <x:v>34</x:v>
      </x:c>
      <x:c r="B20" s="29"/>
    </x:row>
    <x:row r="21" ht="54">
      <x:c r="A21" s="27" t="s">
        <x:v>35</x:v>
      </x:c>
      <x:c r="B21" s="28" t="s">
        <x:v>36</x:v>
      </x:c>
    </x:row>
    <x:row r="22" ht="67.5">
      <x:c r="A22" s="27" t="s">
        <x:v>37</x:v>
      </x:c>
      <x:c r="B22" s="28" t="s">
        <x:v>38</x:v>
      </x:c>
    </x:row>
    <x:row r="23" ht="54">
      <x:c r="A23" s="27" t="s">
        <x:v>39</x:v>
      </x:c>
      <x:c r="B23" s="28" t="s">
        <x:v>40</x:v>
      </x:c>
    </x:row>
    <x:row r="24" ht="67.5">
      <x:c r="A24" s="27" t="s">
        <x:v>41</x:v>
      </x:c>
      <x:c r="B24" s="28" t="s">
        <x:v>42</x:v>
      </x:c>
    </x:row>
    <x:row r="25" ht="40.5">
      <x:c r="A25" s="27" t="s">
        <x:v>43</x:v>
      </x:c>
      <x:c r="B25" s="28" t="s">
        <x:v>44</x:v>
      </x:c>
    </x:row>
    <x:row r="26" ht="26.25">
      <x:c r="A26" s="29" t="s">
        <x:v>45</x:v>
      </x:c>
      <x:c r="B26" s="29"/>
    </x:row>
    <x:row r="27" ht="54">
      <x:c r="A27" s="27" t="s">
        <x:v>46</x:v>
      </x:c>
      <x:c r="B27" s="28" t="s">
        <x:v>47</x:v>
      </x:c>
    </x:row>
    <x:row r="28" ht="40.5">
      <x:c r="A28" s="27" t="s">
        <x:v>48</x:v>
      </x:c>
      <x:c r="B28" s="28" t="s">
        <x:v>49</x:v>
      </x:c>
    </x:row>
    <x:row r="29" ht="40.5">
      <x:c r="A29" s="27" t="s">
        <x:v>50</x:v>
      </x:c>
      <x:c r="B29" s="28" t="s">
        <x:v>51</x:v>
      </x:c>
    </x:row>
    <x:row r="30" ht="27">
      <x:c r="A30" s="27" t="s">
        <x:v>52</x:v>
      </x:c>
      <x:c r="B30" s="28" t="s">
        <x:v>53</x:v>
      </x:c>
    </x:row>
    <x:row r="31" ht="54">
      <x:c r="A31" s="27" t="s">
        <x:v>54</x:v>
      </x:c>
      <x:c r="B31" s="28" t="s">
        <x:v>55</x:v>
      </x:c>
    </x:row>
    <x:row r="32">
      <x:c r="A32" s="29" t="s">
        <x:v>56</x:v>
      </x:c>
      <x:c r="B32" s="29"/>
    </x:row>
    <x:row r="33" ht="54">
      <x:c r="A33" s="27" t="s">
        <x:v>57</x:v>
      </x:c>
      <x:c r="B33" s="28" t="s">
        <x:v>58</x:v>
      </x:c>
    </x:row>
    <x:row r="34" ht="26.25">
      <x:c r="A34" s="29" t="s">
        <x:v>59</x:v>
      </x:c>
      <x:c r="B34" s="29"/>
    </x:row>
    <x:row r="35" ht="67.5">
      <x:c r="A35" s="27" t="s">
        <x:v>60</x:v>
      </x:c>
      <x:c r="B35" s="28" t="s">
        <x:v>61</x:v>
      </x:c>
    </x:row>
    <x:row r="36" ht="40.5">
      <x:c r="A36" s="27" t="s">
        <x:v>62</x:v>
      </x:c>
      <x:c r="B36" s="28" t="s">
        <x:v>63</x:v>
      </x:c>
    </x:row>
    <x:row r="37">
      <x:c r="A37" s="29" t="s">
        <x:v>64</x:v>
      </x:c>
      <x:c r="B37" s="29"/>
    </x:row>
    <x:row r="38" ht="13.899999618530273">
      <x:c r="A38" s="27" t="s">
        <x:v>65</x:v>
      </x:c>
      <x:c r="B38" s="28" t="s">
        <x:v>66</x:v>
      </x:c>
    </x:row>
    <x:row r="39" ht="27">
      <x:c r="A39" s="27" t="s">
        <x:v>67</x:v>
      </x:c>
      <x:c r="B39" s="28" t="s">
        <x:v>68</x:v>
      </x:c>
    </x:row>
    <x:row r="40" ht="27">
      <x:c r="A40" s="27" t="s">
        <x:v>69</x:v>
      </x:c>
      <x:c r="B40" s="28" t="s">
        <x:v>70</x:v>
      </x:c>
    </x:row>
    <x:row r="41" ht="13.899999618530273">
      <x:c r="A41" s="27" t="s">
        <x:v>71</x:v>
      </x:c>
      <x:c r="B41" s="28" t="s">
        <x:v>72</x:v>
      </x:c>
    </x:row>
    <x:row r="42" ht="40.5">
      <x:c r="A42" s="27" t="s">
        <x:v>73</x:v>
      </x:c>
      <x:c r="B42" s="28" t="s">
        <x:v>74</x:v>
      </x:c>
    </x:row>
    <x:row r="43" ht="27">
      <x:c r="A43" s="27" t="s">
        <x:v>75</x:v>
      </x:c>
      <x:c r="B43" s="28" t="s">
        <x:v>76</x:v>
      </x:c>
    </x:row>
    <x:row r="44" ht="27">
      <x:c r="A44" s="27" t="s">
        <x:v>77</x:v>
      </x:c>
      <x:c r="B44" s="28" t="s">
        <x:v>78</x:v>
      </x:c>
    </x:row>
    <x:row r="45" ht="40.5">
      <x:c r="A45" s="27" t="s">
        <x:v>79</x:v>
      </x:c>
      <x:c r="B45" s="28" t="s">
        <x:v>80</x:v>
      </x:c>
    </x:row>
    <x:row r="47">
      <x:c r="A47" t="str">
        <x:v>SIMPLE INTERFACE (16 Oct 2026)</x:v>
      </x:c>
      <x:c r="B47" t="str">
        <x:v>Original GitLab-style selector retained. Databank has Builder Filter and Explore Encapsulins.</x:v>
      </x:c>
    </x:row>
    <x:row r="48">
      <x:c r="A48" t="str">
        <x:v>Assembly comparison</x:v>
      </x:c>
      <x:c r="B48" t="str">
        <x:v>shell_sequence_status describes shell protein relative to curated WT/cargo-free reference. Assembly shape or cargo loading is NOT a protein mutation.</x:v>
      </x:c>
    </x:row>
    <x:row r="49">
      <x:c r="A49" t="str">
        <x:v>Unmodified</x:v>
      </x:c>
      <x:c r="B49" t="str">
        <x:v>No engineered change to the shell protein is documented in the assembly record. This does not prove identical experimental DNA.</x:v>
      </x:c>
    </x:row>
    <x:row r="50">
      <x:c r="A50" t="str">
        <x:v>Modified</x:v>
      </x:c>
      <x:c r="B50" t="str">
        <x:v>Shell protein has a documented engineered modification; detail in shell_sequence_change. Variant names alone do not determine exact residue edits.</x:v>
      </x:c>
    </x:row>
    <x:row r="51">
      <x:c r="A51" t="str">
        <x:v>Builder Filter</x:v>
      </x:c>
      <x:c r="B51" t="str">
        <x:v>Only 24 curated CDS designs from builder_catalog are selectable. Explore Encapsulins never transfers to Builder.</x:v>
      </x:c>
    </x:row>
    <x:row r="53" ht="22" customHeight="1">
      <x:c r="A53" s="117" t="str">
        <x:v>9. TARGETING PEPTIDES — CURATION ONLY</x:v>
      </x:c>
      <x:c r="B53" s="117"/>
    </x:row>
    <x:row r="54">
      <x:c r="A54" s="63" t="str">
        <x:v>targeting_peptides</x:v>
      </x:c>
      <x:c r="B54" s="63" t="str">
        <x:v>22 curated TP-related records with source citations, sequence/motif descriptors, DNA for toolkit parts when available, review status and X–AF verification fields. This sheet is public research data; its presence does NOT imply Builder-ready status.</x:v>
      </x:c>
    </x:row>
    <x:row r="55">
      <x:c r="A55" s="63" t="str">
        <x:v>Export and visibility</x:v>
      </x:c>
      <x:c r="B55" s="63" t="str">
        <x:v>The Database Explorer and Builder Filter do not read or display this sheet. TP entries are excluded from the public selector JSON export and the approved shell/CDS Builder catalog. Do not add TP UI functionality until separately reviewed and enabled.</x:v>
      </x:c>
    </x:row>
    <x:row r="56">
      <x:c r="A56" s="63" t="str">
        <x:v>Verification note</x:v>
      </x:c>
      <x:c r="B56" s="63" t="str">
        <x:v>Column X checks stated TP length; column Y only checks that a motif is contained in the TP sequence. Neither establishes cargo positioning, experimental packaging or DNA/plasmid equivalence. Review status and suggested actions must be checked before releasing any TP for design.</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19" customWidth="1"/>
    <x:col min="2" max="2" width="25" customWidth="1"/>
    <x:col min="3" max="3" width="48" customWidth="1"/>
    <x:col min="4" max="4" width="42" customWidth="1"/>
    <x:col min="5" max="5" width="32" customWidth="1"/>
    <x:col min="6" max="6" width="28" customWidth="1"/>
    <x:col min="7" max="7" width="18" customWidth="1"/>
    <x:col min="8" max="8" width="23" customWidth="1"/>
    <x:col min="9" max="9" width="24" customWidth="1"/>
    <x:col min="10" max="10" width="27" customWidth="1"/>
    <x:col min="11" max="11" width="18" customWidth="1"/>
    <x:col min="12" max="12" width="25" customWidth="1"/>
    <x:col min="13" max="13" width="23" customWidth="1"/>
    <x:col min="14" max="14" width="28" customWidth="1"/>
    <x:col min="15" max="15" width="20" customWidth="1"/>
    <x:col min="16" max="16" width="26" customWidth="1"/>
    <x:col min="17" max="17" width="27" customWidth="1"/>
    <x:col min="18" max="18" width="23" customWidth="1"/>
    <x:col min="19" max="19" width="22" customWidth="1"/>
    <x:col min="20" max="20" width="83" customWidth="1"/>
    <x:col min="21" max="21" width="35" customWidth="1"/>
    <x:col min="22" max="22" width="85" customWidth="1"/>
    <x:col min="23" max="23" width="64" customWidth="1"/>
    <x:col min="24" max="24" width="45" customWidth="1"/>
    <x:col min="25" max="25" width="46" customWidth="1"/>
    <x:col min="26" max="29" width="20" customWidth="1"/>
    <x:col min="30" max="30" width="75" customWidth="1"/>
    <x:col min="31" max="31" width="96" customWidth="1"/>
    <x:col min="32" max="32" width="76" customWidth="1"/>
    <x:col min="33" max="33" width="57" customWidth="1"/>
  </x:cols>
  <x:sheetData>
    <x:row r="1" ht="42" customHeight="1">
      <x:c r="A1" s="2" t="s">
        <x:v>81</x:v>
      </x:c>
      <x:c r="B1" s="2" t="s">
        <x:v>82</x:v>
      </x:c>
      <x:c r="C1" s="2" t="s">
        <x:v>83</x:v>
      </x:c>
      <x:c r="D1" s="2" t="s">
        <x:v>84</x:v>
      </x:c>
      <x:c r="E1" s="2" t="s">
        <x:v>85</x:v>
      </x:c>
      <x:c r="F1" s="2" t="s">
        <x:v>86</x:v>
      </x:c>
      <x:c r="G1" s="2" t="s">
        <x:v>87</x:v>
      </x:c>
      <x:c r="H1" s="2" t="s">
        <x:v>88</x:v>
      </x:c>
      <x:c r="I1" s="2" t="s">
        <x:v>89</x:v>
      </x:c>
      <x:c r="J1" s="2" t="s">
        <x:v>90</x:v>
      </x:c>
      <x:c r="K1" s="2" t="s">
        <x:v>91</x:v>
      </x:c>
      <x:c r="L1" s="2" t="s">
        <x:v>92</x:v>
      </x:c>
      <x:c r="M1" s="2" t="s">
        <x:v>93</x:v>
      </x:c>
      <x:c r="N1" s="2" t="s">
        <x:v>94</x:v>
      </x:c>
      <x:c r="O1" s="2" t="s">
        <x:v>95</x:v>
      </x:c>
      <x:c r="P1" s="2" t="s">
        <x:v>96</x:v>
      </x:c>
      <x:c r="Q1" s="2" t="s">
        <x:v>97</x:v>
      </x:c>
      <x:c r="R1" s="2" t="s">
        <x:v>98</x:v>
      </x:c>
      <x:c r="S1" s="2" t="s">
        <x:v>99</x:v>
      </x:c>
      <x:c r="T1" s="2" t="s">
        <x:v>100</x:v>
      </x:c>
      <x:c r="U1" s="2" t="s">
        <x:v>101</x:v>
      </x:c>
      <x:c r="V1" s="2" t="s">
        <x:v>102</x:v>
      </x:c>
      <x:c r="W1" s="2" t="s">
        <x:v>103</x:v>
      </x:c>
      <x:c r="X1" s="2" t="s">
        <x:v>104</x:v>
      </x:c>
      <x:c r="Y1" s="2" t="s">
        <x:v>105</x:v>
      </x:c>
      <x:c r="Z1" s="2" t="s">
        <x:v>106</x:v>
      </x:c>
      <x:c r="AA1" s="2" t="s">
        <x:v>107</x:v>
      </x:c>
      <x:c r="AB1" s="2" t="s">
        <x:v>108</x:v>
      </x:c>
      <x:c r="AC1" s="2" t="s">
        <x:v>109</x:v>
      </x:c>
      <x:c r="AD1" s="2" t="s">
        <x:v>110</x:v>
      </x:c>
      <x:c r="AE1" s="2" t="s">
        <x:v>111</x:v>
      </x:c>
      <x:c r="AF1" s="2" t="s">
        <x:v>112</x:v>
      </x:c>
      <x:c r="AG1" s="2" t="s">
        <x:v>113</x:v>
      </x:c>
    </x:row>
    <x:row r="2" ht="86.55000305175781" customHeight="1">
      <x:c r="A2" s="13" t="s">
        <x:v>114</x:v>
      </x:c>
      <x:c r="B2" s="7" t="s">
        <x:v>115</x:v>
      </x:c>
      <x:c r="C2" s="7" t="s">
        <x:v>116</x:v>
      </x:c>
      <x:c r="D2" s="7" t="s">
        <x:v>117</x:v>
      </x:c>
      <x:c r="E2" s="7" t="s">
        <x:v>118</x:v>
      </x:c>
      <x:c r="F2" s="7" t="s">
        <x:v>119</x:v>
      </x:c>
      <x:c r="G2" s="7">
        <x:v>246197</x:v>
      </x:c>
      <x:c r="H2" s="7" t="s">
        <x:v>120</x:v>
      </x:c>
      <x:c r="I2" s="7" t="s">
        <x:v>121</x:v>
      </x:c>
      <x:c r="J2" s="7"/>
      <x:c r="K2" s="7">
        <x:v>287</x:v>
      </x:c>
      <x:c r="L2" s="7" t="s">
        <x:v>122</x:v>
      </x:c>
      <x:c r="M2" s="7" t="s">
        <x:v>123</x:v>
      </x:c>
      <x:c r="N2" s="7" t="s">
        <x:v>124</x:v>
      </x:c>
      <x:c r="O2" s="7"/>
      <x:c r="P2" s="7"/>
      <x:c r="Q2" s="7" t="s">
        <x:v>125</x:v>
      </x:c>
      <x:c r="R2" s="7" t="s">
        <x:v>126</x:v>
      </x:c>
      <x:c r="S2" s="8" t="b">
        <x:v>0</x:v>
      </x:c>
      <x:c r="T2" s="7"/>
      <x:c r="U2" s="7" t="s">
        <x:v>127</x:v>
      </x:c>
      <x:c r="V2" s="7" t="s">
        <x:v>128</x:v>
      </x:c>
      <x:c r="W2" s="7" t="s">
        <x:v>129</x:v>
      </x:c>
      <x:c r="X2" s="7" t="s">
        <x:v>130</x:v>
      </x:c>
      <x:c r="Y2" s="7" t="s">
        <x:v>131</x:v>
      </x:c>
      <x:c r="Z2" s="7" t="n">
        <x:f t="shared" ref="Z2:Z33" si="0">IF(X2="","",LEN(X2)-LEN(SUBSTITUTE(X2,";",""))+1)</x:f>
        <x:v>12</x:v>
      </x:c>
      <x:c r="AA2" s="7" t="n">
        <x:f>COUNTIF(assemblies!$B$2:$B$2029,A2)</x:f>
        <x:v>8</x:v>
      </x:c>
      <x:c r="AB2" s="7" t="n">
        <x:f>COUNTIF(pores!$B$2:$B$5028,A2)</x:f>
        <x:v>11</x:v>
      </x:c>
      <x:c r="AC2" s="7" t="n">
        <x:f>COUNTIF(evidence!$B$2:$B$10000,A2)</x:f>
        <x:v>20</x:v>
      </x:c>
      <x:c r="AD2" s="7" t="s">
        <x:v>132</x:v>
      </x:c>
      <x:c r="AE2" s="7" t="s">
        <x:v>133</x:v>
      </x:c>
      <x:c r="AF2" s="7"/>
      <x:c r="AG2" s="15" t="s">
        <x:v>134</x:v>
      </x:c>
    </x:row>
    <x:row r="3" ht="99.8499984741211" customHeight="1">
      <x:c r="A3" s="14" t="s">
        <x:v>135</x:v>
      </x:c>
      <x:c r="B3" s="10" t="s">
        <x:v>136</x:v>
      </x:c>
      <x:c r="C3" s="10" t="s">
        <x:v>137</x:v>
      </x:c>
      <x:c r="D3" s="10" t="s">
        <x:v>138</x:v>
      </x:c>
      <x:c r="E3" s="10" t="s">
        <x:v>139</x:v>
      </x:c>
      <x:c r="F3" s="10" t="s">
        <x:v>140</x:v>
      </x:c>
      <x:c r="G3" s="10">
        <x:v>243274</x:v>
      </x:c>
      <x:c r="H3" s="10" t="s">
        <x:v>141</x:v>
      </x:c>
      <x:c r="I3" s="10" t="s">
        <x:v>142</x:v>
      </x:c>
      <x:c r="J3" s="10"/>
      <x:c r="K3" s="10">
        <x:v>265</x:v>
      </x:c>
      <x:c r="L3" s="10" t="s">
        <x:v>122</x:v>
      </x:c>
      <x:c r="M3" s="10" t="s">
        <x:v>123</x:v>
      </x:c>
      <x:c r="N3" s="10" t="s">
        <x:v>124</x:v>
      </x:c>
      <x:c r="O3" s="10"/>
      <x:c r="P3" s="10"/>
      <x:c r="Q3" s="10" t="s">
        <x:v>125</x:v>
      </x:c>
      <x:c r="R3" s="10" t="s">
        <x:v>126</x:v>
      </x:c>
      <x:c r="S3" s="11" t="b">
        <x:v>0</x:v>
      </x:c>
      <x:c r="T3" s="10"/>
      <x:c r="U3" s="10" t="str">
        <x:v>Q9WZP2_T1_empty</x:v>
      </x:c>
      <x:c r="V3" s="10" t="s">
        <x:v>143</x:v>
      </x:c>
      <x:c r="W3" s="10" t="s">
        <x:v>144</x:v>
      </x:c>
      <x:c r="X3" s="10" t="s">
        <x:v>145</x:v>
      </x:c>
      <x:c r="Y3" s="10" t="s">
        <x:v>146</x:v>
      </x:c>
      <x:c r="Z3" s="10">
        <x:f t="shared" si="0"/>
        <x:v>13</x:v>
      </x:c>
      <x:c r="AA3" s="10" t="n">
        <x:f>COUNTIF(assemblies!$B$2:$B$2029,A3)</x:f>
        <x:v>9</x:v>
      </x:c>
      <x:c r="AB3" s="10" t="n">
        <x:f>COUNTIF(pores!$B$2:$B$5028,A3)</x:f>
        <x:v>12</x:v>
      </x:c>
      <x:c r="AC3" s="10" t="n">
        <x:f>COUNTIF(evidence!$B$2:$B$10000,A3)</x:f>
        <x:v>22</x:v>
      </x:c>
      <x:c r="AD3" s="10" t="s">
        <x:v>147</x:v>
      </x:c>
      <x:c r="AE3" s="10" t="s">
        <x:v>148</x:v>
      </x:c>
      <x:c r="AF3" s="10"/>
      <x:c r="AG3" s="16" t="s">
        <x:v>149</x:v>
      </x:c>
    </x:row>
    <x:row r="4" ht="59.95000076293945" customHeight="1">
      <x:c r="A4" s="13" t="s">
        <x:v>150</x:v>
      </x:c>
      <x:c r="B4" s="7" t="s">
        <x:v>151</x:v>
      </x:c>
      <x:c r="C4" s="7" t="s">
        <x:v>137</x:v>
      </x:c>
      <x:c r="D4" s="7" t="s">
        <x:v>152</x:v>
      </x:c>
      <x:c r="E4" s="7" t="s">
        <x:v>153</x:v>
      </x:c>
      <x:c r="F4" s="7" t="s">
        <x:v>154</x:v>
      </x:c>
      <x:c r="G4" s="7">
        <x:v>83332</x:v>
      </x:c>
      <x:c r="H4" s="7" t="s">
        <x:v>141</x:v>
      </x:c>
      <x:c r="I4" s="7" t="s">
        <x:v>155</x:v>
      </x:c>
      <x:c r="J4" s="7"/>
      <x:c r="K4" s="7">
        <x:v>265</x:v>
      </x:c>
      <x:c r="L4" s="7" t="s">
        <x:v>122</x:v>
      </x:c>
      <x:c r="M4" s="7" t="s">
        <x:v>123</x:v>
      </x:c>
      <x:c r="N4" s="7" t="s">
        <x:v>124</x:v>
      </x:c>
      <x:c r="O4" s="7"/>
      <x:c r="P4" s="7"/>
      <x:c r="Q4" s="7" t="s">
        <x:v>125</x:v>
      </x:c>
      <x:c r="R4" s="7" t="s">
        <x:v>126</x:v>
      </x:c>
      <x:c r="S4" s="8" t="b">
        <x:v>0</x:v>
      </x:c>
      <x:c r="T4" s="7"/>
      <x:c r="U4" s="7" t="s">
        <x:v>156</x:v>
      </x:c>
      <x:c r="V4" s="7" t="s">
        <x:v>157</x:v>
      </x:c>
      <x:c r="W4" s="7" t="s">
        <x:v>158</x:v>
      </x:c>
      <x:c r="X4" s="7" t="s">
        <x:v>159</x:v>
      </x:c>
      <x:c r="Y4" s="7" t="s">
        <x:v>160</x:v>
      </x:c>
      <x:c r="Z4" s="7">
        <x:f t="shared" si="0"/>
        <x:v>10</x:v>
      </x:c>
      <x:c r="AA4" s="7" t="n">
        <x:f>COUNTIF(assemblies!$B$2:$B$2029,A4)</x:f>
        <x:v>6</x:v>
      </x:c>
      <x:c r="AB4" s="7" t="n">
        <x:f>COUNTIF(pores!$B$2:$B$5028,A4)</x:f>
        <x:v>8</x:v>
      </x:c>
      <x:c r="AC4" s="7" t="n">
        <x:f>COUNTIF(evidence!$B$2:$B$10000,A4)</x:f>
        <x:v>15</x:v>
      </x:c>
      <x:c r="AD4" s="7" t="s">
        <x:v>161</x:v>
      </x:c>
      <x:c r="AE4" s="7" t="s">
        <x:v>162</x:v>
      </x:c>
      <x:c r="AF4" s="7"/>
      <x:c r="AG4" s="15" t="s">
        <x:v>163</x:v>
      </x:c>
    </x:row>
    <x:row r="5" ht="59.95000076293945" customHeight="1">
      <x:c r="A5" s="14" t="s">
        <x:v>164</x:v>
      </x:c>
      <x:c r="B5" s="10" t="s">
        <x:v>165</x:v>
      </x:c>
      <x:c r="C5" s="10" t="s">
        <x:v>137</x:v>
      </x:c>
      <x:c r="D5" s="10" t="s">
        <x:v>166</x:v>
      </x:c>
      <x:c r="E5" s="10" t="s">
        <x:v>167</x:v>
      </x:c>
      <x:c r="F5" s="10" t="s">
        <x:v>168</x:v>
      </x:c>
      <x:c r="G5" s="10">
        <x:v>1221996</x:v>
      </x:c>
      <x:c r="H5" s="10" t="s">
        <x:v>141</x:v>
      </x:c>
      <x:c r="I5" s="10"/>
      <x:c r="J5" s="10" t="s">
        <x:v>169</x:v>
      </x:c>
      <x:c r="K5" s="10">
        <x:v>282</x:v>
      </x:c>
      <x:c r="L5" s="10" t="s">
        <x:v>122</x:v>
      </x:c>
      <x:c r="M5" s="10" t="s">
        <x:v>123</x:v>
      </x:c>
      <x:c r="N5" s="10" t="s">
        <x:v>124</x:v>
      </x:c>
      <x:c r="O5" s="10"/>
      <x:c r="P5" s="10"/>
      <x:c r="Q5" s="10" t="s">
        <x:v>125</x:v>
      </x:c>
      <x:c r="R5" s="10" t="s">
        <x:v>126</x:v>
      </x:c>
      <x:c r="S5" s="11" t="b">
        <x:v>0</x:v>
      </x:c>
      <x:c r="T5" s="10" t="s">
        <x:v>170</x:v>
      </x:c>
      <x:c r="U5" s="10" t="str">
        <x:v>A0A0F5HPP7_T4_empty</x:v>
      </x:c>
      <x:c r="V5" s="10" t="s">
        <x:v>171</x:v>
      </x:c>
      <x:c r="W5" s="10" t="s">
        <x:v>172</x:v>
      </x:c>
      <x:c r="X5" s="10" t="s">
        <x:v>173</x:v>
      </x:c>
      <x:c r="Y5" s="10" t="s">
        <x:v>174</x:v>
      </x:c>
      <x:c r="Z5" s="10">
        <x:f t="shared" si="0"/>
        <x:v>6</x:v>
      </x:c>
      <x:c r="AA5" s="10" t="n">
        <x:f>COUNTIF(assemblies!$B$2:$B$2029,A5)</x:f>
        <x:v>7</x:v>
      </x:c>
      <x:c r="AB5" s="10" t="n">
        <x:f>COUNTIF(pores!$B$2:$B$5028,A5)</x:f>
        <x:v>3</x:v>
      </x:c>
      <x:c r="AC5" s="10" t="n">
        <x:f>COUNTIF(evidence!$B$2:$B$10000,A5)</x:f>
        <x:v>11</x:v>
      </x:c>
      <x:c r="AD5" s="10" t="s">
        <x:v>175</x:v>
      </x:c>
      <x:c r="AE5" s="10" t="s">
        <x:v>176</x:v>
      </x:c>
      <x:c r="AF5" s="10"/>
      <x:c r="AG5" s="16" t="s">
        <x:v>177</x:v>
      </x:c>
    </x:row>
    <x:row r="6" ht="46.599998474121094" customHeight="1">
      <x:c r="A6" s="13" t="s">
        <x:v>178</x:v>
      </x:c>
      <x:c r="B6" s="7" t="s">
        <x:v>179</x:v>
      </x:c>
      <x:c r="C6" s="7" t="s">
        <x:v>137</x:v>
      </x:c>
      <x:c r="D6" s="7" t="s">
        <x:v>180</x:v>
      </x:c>
      <x:c r="E6" s="7" t="s">
        <x:v>181</x:v>
      </x:c>
      <x:c r="F6" s="7" t="s">
        <x:v>182</x:v>
      </x:c>
      <x:c r="G6" s="7">
        <x:v>502025</x:v>
      </x:c>
      <x:c r="H6" s="7"/>
      <x:c r="I6" s="7" t="s">
        <x:v>183</x:v>
      </x:c>
      <x:c r="J6" s="7"/>
      <x:c r="K6" s="7">
        <x:v>266</x:v>
      </x:c>
      <x:c r="L6" s="7" t="s">
        <x:v>122</x:v>
      </x:c>
      <x:c r="M6" s="7" t="s">
        <x:v>123</x:v>
      </x:c>
      <x:c r="N6" s="7" t="s">
        <x:v>124</x:v>
      </x:c>
      <x:c r="O6" s="7"/>
      <x:c r="P6" s="7"/>
      <x:c r="Q6" s="7" t="s">
        <x:v>125</x:v>
      </x:c>
      <x:c r="R6" s="7" t="s">
        <x:v>184</x:v>
      </x:c>
      <x:c r="S6" s="8" t="b">
        <x:v>0</x:v>
      </x:c>
      <x:c r="T6" s="7"/>
      <x:c r="U6" s="7" t="str">
        <x:v>D0LZ74_T1_empty</x:v>
      </x:c>
      <x:c r="V6" s="7" t="s">
        <x:v>185</x:v>
      </x:c>
      <x:c r="W6" s="7" t="s">
        <x:v>186</x:v>
      </x:c>
      <x:c r="X6" s="7" t="s">
        <x:v>187</x:v>
      </x:c>
      <x:c r="Y6" s="7" t="s">
        <x:v>188</x:v>
      </x:c>
      <x:c r="Z6" s="7">
        <x:f t="shared" si="0"/>
        <x:v>3</x:v>
      </x:c>
      <x:c r="AA6" s="7" t="n">
        <x:f>COUNTIF(assemblies!$B$2:$B$2029,A6)</x:f>
        <x:v>2</x:v>
      </x:c>
      <x:c r="AB6" s="7" t="n">
        <x:f>COUNTIF(pores!$B$2:$B$5028,A6)</x:f>
        <x:v>2</x:v>
      </x:c>
      <x:c r="AC6" s="7" t="n">
        <x:f>COUNTIF(evidence!$B$2:$B$10000,A6)</x:f>
        <x:v>5</x:v>
      </x:c>
      <x:c r="AD6" s="7" t="s">
        <x:v>189</x:v>
      </x:c>
      <x:c r="AE6" s="7" t="s">
        <x:v>190</x:v>
      </x:c>
      <x:c r="AF6" s="7"/>
      <x:c r="AG6" s="15" t="s">
        <x:v>191</x:v>
      </x:c>
    </x:row>
    <x:row r="7" ht="59.95000076293945" customHeight="1">
      <x:c r="A7" s="14" t="s">
        <x:v>192</x:v>
      </x:c>
      <x:c r="B7" s="10" t="s">
        <x:v>193</x:v>
      </x:c>
      <x:c r="C7" s="10" t="s">
        <x:v>194</x:v>
      </x:c>
      <x:c r="D7" s="10" t="s">
        <x:v>195</x:v>
      </x:c>
      <x:c r="E7" s="10" t="s">
        <x:v>196</x:v>
      </x:c>
      <x:c r="F7" s="10" t="s">
        <x:v>197</x:v>
      </x:c>
      <x:c r="G7" s="10">
        <x:v>1140</x:v>
      </x:c>
      <x:c r="H7" s="10" t="s">
        <x:v>141</x:v>
      </x:c>
      <x:c r="I7" s="10" t="s">
        <x:v>198</x:v>
      </x:c>
      <x:c r="J7" s="10" t="s">
        <x:v>199</x:v>
      </x:c>
      <x:c r="K7" s="10">
        <x:v>306</x:v>
      </x:c>
      <x:c r="L7" s="10" t="s">
        <x:v>122</x:v>
      </x:c>
      <x:c r="M7" s="10" t="s">
        <x:v>200</x:v>
      </x:c>
      <x:c r="N7" s="10" t="s">
        <x:v>124</x:v>
      </x:c>
      <x:c r="O7" s="10"/>
      <x:c r="P7" s="10"/>
      <x:c r="Q7" s="10" t="s">
        <x:v>125</x:v>
      </x:c>
      <x:c r="R7" s="10" t="s">
        <x:v>126</x:v>
      </x:c>
      <x:c r="S7" s="11" t="b">
        <x:v>0</x:v>
      </x:c>
      <x:c r="T7" s="10"/>
      <x:c r="U7" s="10" t="str">
        <x:v>Q55032_T1_empty</x:v>
      </x:c>
      <x:c r="V7" s="10" t="s">
        <x:v>201</x:v>
      </x:c>
      <x:c r="W7" s="10" t="s">
        <x:v>202</x:v>
      </x:c>
      <x:c r="X7" s="10" t="s">
        <x:v>203</x:v>
      </x:c>
      <x:c r="Y7" s="10" t="s">
        <x:v>204</x:v>
      </x:c>
      <x:c r="Z7" s="10">
        <x:f t="shared" si="0"/>
        <x:v>2</x:v>
      </x:c>
      <x:c r="AA7" s="10" t="n">
        <x:f>COUNTIF(assemblies!$B$2:$B$2029,A7)</x:f>
        <x:v>2</x:v>
      </x:c>
      <x:c r="AB7" s="10" t="n">
        <x:f>COUNTIF(pores!$B$2:$B$5028,A7)</x:f>
        <x:v>1</x:v>
      </x:c>
      <x:c r="AC7" s="10" t="n">
        <x:f>COUNTIF(evidence!$B$2:$B$10000,A7)</x:f>
        <x:v>4</x:v>
      </x:c>
      <x:c r="AD7" s="10" t="s">
        <x:v>205</x:v>
      </x:c>
      <x:c r="AE7" s="10" t="s">
        <x:v>206</x:v>
      </x:c>
      <x:c r="AF7" s="10"/>
      <x:c r="AG7" s="16" t="s">
        <x:v>207</x:v>
      </x:c>
    </x:row>
    <x:row r="8" ht="59.95000076293945" customHeight="1">
      <x:c r="A8" s="13" t="s">
        <x:v>208</x:v>
      </x:c>
      <x:c r="B8" s="7" t="s">
        <x:v>209</x:v>
      </x:c>
      <x:c r="C8" s="7" t="s">
        <x:v>210</x:v>
      </x:c>
      <x:c r="D8" s="7" t="s">
        <x:v>211</x:v>
      </x:c>
      <x:c r="E8" s="7" t="s">
        <x:v>212</x:v>
      </x:c>
      <x:c r="F8" s="7" t="s">
        <x:v>213</x:v>
      </x:c>
      <x:c r="G8" s="7">
        <x:v>186497</x:v>
      </x:c>
      <x:c r="H8" s="7"/>
      <x:c r="I8" s="7" t="s">
        <x:v>214</x:v>
      </x:c>
      <x:c r="J8" s="7"/>
      <x:c r="K8" s="7">
        <x:v>345</x:v>
      </x:c>
      <x:c r="L8" s="7" t="s">
        <x:v>122</x:v>
      </x:c>
      <x:c r="M8" s="7" t="s">
        <x:v>123</x:v>
      </x:c>
      <x:c r="N8" s="7" t="s">
        <x:v>124</x:v>
      </x:c>
      <x:c r="O8" s="7"/>
      <x:c r="P8" s="7"/>
      <x:c r="Q8" s="7" t="s">
        <x:v>125</x:v>
      </x:c>
      <x:c r="R8" s="7" t="s">
        <x:v>184</x:v>
      </x:c>
      <x:c r="S8" s="8" t="b">
        <x:v>1</x:v>
      </x:c>
      <x:c r="T8" s="7" t="s">
        <x:v>215</x:v>
      </x:c>
      <x:c r="U8" s="7" t="s">
        <x:v>216</x:v>
      </x:c>
      <x:c r="V8" s="7" t="s">
        <x:v>217</x:v>
      </x:c>
      <x:c r="W8" s="7" t="s">
        <x:v>218</x:v>
      </x:c>
      <x:c r="X8" s="7" t="s">
        <x:v>219</x:v>
      </x:c>
      <x:c r="Y8" s="7"/>
      <x:c r="Z8" s="7">
        <x:f t="shared" si="0"/>
        <x:v>2</x:v>
      </x:c>
      <x:c r="AA8" s="7" t="n">
        <x:f>COUNTIF(assemblies!$B$2:$B$2029,A8)</x:f>
        <x:v>1</x:v>
      </x:c>
      <x:c r="AB8" s="7" t="n">
        <x:f>COUNTIF(pores!$B$2:$B$5028,A8)</x:f>
        <x:v>1</x:v>
      </x:c>
      <x:c r="AC8" s="7" t="n">
        <x:f>COUNTIF(evidence!$B$2:$B$10000,A8)</x:f>
        <x:v>3</x:v>
      </x:c>
      <x:c r="AD8" s="7" t="s">
        <x:v>220</x:v>
      </x:c>
      <x:c r="AE8" s="7" t="s">
        <x:v>221</x:v>
      </x:c>
      <x:c r="AF8" s="7"/>
      <x:c r="AG8" s="15" t="s">
        <x:v>222</x:v>
      </x:c>
    </x:row>
    <x:row r="9" ht="59.95000076293945" customHeight="1">
      <x:c r="A9" s="14" t="s">
        <x:v>223</x:v>
      </x:c>
      <x:c r="B9" s="10" t="s">
        <x:v>224</x:v>
      </x:c>
      <x:c r="C9" s="10" t="s">
        <x:v>137</x:v>
      </x:c>
      <x:c r="D9" s="10" t="s">
        <x:v>225</x:v>
      </x:c>
      <x:c r="E9" s="10" t="s">
        <x:v>226</x:v>
      </x:c>
      <x:c r="F9" s="10" t="s">
        <x:v>227</x:v>
      </x:c>
      <x:c r="G9" s="10">
        <x:v>1703</x:v>
      </x:c>
      <x:c r="H9" s="10" t="s">
        <x:v>141</x:v>
      </x:c>
      <x:c r="I9" s="10"/>
      <x:c r="J9" s="10" t="s">
        <x:v>228</x:v>
      </x:c>
      <x:c r="K9" s="10">
        <x:v>266</x:v>
      </x:c>
      <x:c r="L9" s="10" t="s">
        <x:v>122</x:v>
      </x:c>
      <x:c r="M9" s="10" t="s">
        <x:v>123</x:v>
      </x:c>
      <x:c r="N9" s="10" t="s">
        <x:v>124</x:v>
      </x:c>
      <x:c r="O9" s="10"/>
      <x:c r="P9" s="10"/>
      <x:c r="Q9" s="10" t="s">
        <x:v>125</x:v>
      </x:c>
      <x:c r="R9" s="10" t="s">
        <x:v>184</x:v>
      </x:c>
      <x:c r="S9" s="11" t="b">
        <x:v>0</x:v>
      </x:c>
      <x:c r="T9" s="10"/>
      <x:c r="U9" s="10" t="s">
        <x:v>229</x:v>
      </x:c>
      <x:c r="V9" s="10" t="s">
        <x:v>230</x:v>
      </x:c>
      <x:c r="W9" s="10" t="s">
        <x:v>231</x:v>
      </x:c>
      <x:c r="X9" s="10" t="s">
        <x:v>232</x:v>
      </x:c>
      <x:c r="Y9" s="10" t="s">
        <x:v>233</x:v>
      </x:c>
      <x:c r="Z9" s="10">
        <x:f t="shared" si="0"/>
        <x:v>1</x:v>
      </x:c>
      <x:c r="AA9" s="10" t="n">
        <x:f>COUNTIF(assemblies!$B$2:$B$2029,A9)</x:f>
        <x:v>2</x:v>
      </x:c>
      <x:c r="AB9" s="10" t="n">
        <x:f>COUNTIF(pores!$B$2:$B$5028,A9)</x:f>
        <x:v>2</x:v>
      </x:c>
      <x:c r="AC9" s="10" t="n">
        <x:f>COUNTIF(evidence!$B$2:$B$10000,A9)</x:f>
        <x:v>5</x:v>
      </x:c>
      <x:c r="AD9" s="10" t="s">
        <x:v>234</x:v>
      </x:c>
      <x:c r="AE9" s="10" t="s">
        <x:v>235</x:v>
      </x:c>
      <x:c r="AF9" s="10"/>
      <x:c r="AG9" s="16" t="s">
        <x:v>236</x:v>
      </x:c>
    </x:row>
    <x:row r="10" ht="59.95000076293945" customHeight="1">
      <x:c r="A10" s="13" t="s">
        <x:v>237</x:v>
      </x:c>
      <x:c r="B10" s="7" t="s">
        <x:v>238</x:v>
      </x:c>
      <x:c r="C10" s="7" t="s">
        <x:v>137</x:v>
      </x:c>
      <x:c r="D10" s="7" t="s">
        <x:v>239</x:v>
      </x:c>
      <x:c r="E10" s="7" t="s">
        <x:v>240</x:v>
      </x:c>
      <x:c r="F10" s="7" t="s">
        <x:v>241</x:v>
      </x:c>
      <x:c r="G10" s="7">
        <x:v>1171373</x:v>
      </x:c>
      <x:c r="H10" s="7"/>
      <x:c r="I10" s="7" t="s">
        <x:v>242</x:v>
      </x:c>
      <x:c r="J10" s="7"/>
      <x:c r="K10" s="7">
        <x:v>264</x:v>
      </x:c>
      <x:c r="L10" s="7" t="s">
        <x:v>243</x:v>
      </x:c>
      <x:c r="M10" s="7" t="s">
        <x:v>123</x:v>
      </x:c>
      <x:c r="N10" s="7" t="s">
        <x:v>124</x:v>
      </x:c>
      <x:c r="O10" s="7"/>
      <x:c r="P10" s="7"/>
      <x:c r="Q10" s="7" t="s">
        <x:v>125</x:v>
      </x:c>
      <x:c r="R10" s="7" t="s">
        <x:v>184</x:v>
      </x:c>
      <x:c r="S10" s="8" t="b">
        <x:v>0</x:v>
      </x:c>
      <x:c r="T10" s="7"/>
      <x:c r="U10" s="7" t="s">
        <x:v>244</x:v>
      </x:c>
      <x:c r="V10" s="7" t="s">
        <x:v>245</x:v>
      </x:c>
      <x:c r="W10" s="7" t="s">
        <x:v>246</x:v>
      </x:c>
      <x:c r="X10" s="7" t="s">
        <x:v>247</x:v>
      </x:c>
      <x:c r="Y10" s="7" t="s">
        <x:v>248</x:v>
      </x:c>
      <x:c r="Z10" s="7">
        <x:f t="shared" si="0"/>
        <x:v>3</x:v>
      </x:c>
      <x:c r="AA10" s="7" t="n">
        <x:f>COUNTIF(assemblies!$B$2:$B$2029,A10)</x:f>
        <x:v>1</x:v>
      </x:c>
      <x:c r="AB10" s="7" t="n">
        <x:f>COUNTIF(pores!$B$2:$B$5028,A10)</x:f>
        <x:v>3</x:v>
      </x:c>
      <x:c r="AC10" s="7" t="n">
        <x:f>COUNTIF(evidence!$B$2:$B$10000,A10)</x:f>
        <x:v>5</x:v>
      </x:c>
      <x:c r="AD10" s="7" t="s">
        <x:v>249</x:v>
      </x:c>
      <x:c r="AE10" s="7" t="s">
        <x:v>250</x:v>
      </x:c>
      <x:c r="AF10" s="7"/>
      <x:c r="AG10" s="15" t="s">
        <x:v>251</x:v>
      </x:c>
    </x:row>
    <x:row r="11" ht="59.95000076293945" customHeight="1">
      <x:c r="A11" s="14" t="s">
        <x:v>252</x:v>
      </x:c>
      <x:c r="B11" s="10" t="s">
        <x:v>253</x:v>
      </x:c>
      <x:c r="C11" s="10" t="s">
        <x:v>137</x:v>
      </x:c>
      <x:c r="D11" s="10" t="s">
        <x:v>254</x:v>
      </x:c>
      <x:c r="E11" s="10" t="s">
        <x:v>255</x:v>
      </x:c>
      <x:c r="F11" s="10" t="s">
        <x:v>256</x:v>
      </x:c>
      <x:c r="G11" s="10">
        <x:v>146817</x:v>
      </x:c>
      <x:c r="H11" s="10"/>
      <x:c r="I11" s="10"/>
      <x:c r="J11" s="10" t="s">
        <x:v>257</x:v>
      </x:c>
      <x:c r="K11" s="10">
        <x:v>278</x:v>
      </x:c>
      <x:c r="L11" s="10" t="s">
        <x:v>243</x:v>
      </x:c>
      <x:c r="M11" s="10" t="s">
        <x:v>123</x:v>
      </x:c>
      <x:c r="N11" s="10" t="s">
        <x:v>124</x:v>
      </x:c>
      <x:c r="O11" s="10"/>
      <x:c r="P11" s="10"/>
      <x:c r="Q11" s="10" t="s">
        <x:v>125</x:v>
      </x:c>
      <x:c r="R11" s="10" t="s">
        <x:v>258</x:v>
      </x:c>
      <x:c r="S11" s="11" t="b">
        <x:v>0</x:v>
      </x:c>
      <x:c r="T11" s="10"/>
      <x:c r="U11" s="10" t="s">
        <x:v>259</x:v>
      </x:c>
      <x:c r="V11" s="10" t="s">
        <x:v>260</x:v>
      </x:c>
      <x:c r="W11" s="10" t="s">
        <x:v>261</x:v>
      </x:c>
      <x:c r="X11" s="10" t="s">
        <x:v>262</x:v>
      </x:c>
      <x:c r="Y11" s="10" t="s">
        <x:v>263</x:v>
      </x:c>
      <x:c r="Z11" s="10">
        <x:f t="shared" si="0"/>
        <x:v>2</x:v>
      </x:c>
      <x:c r="AA11" s="10" t="n">
        <x:f>COUNTIF(assemblies!$B$2:$B$2029,A11)</x:f>
        <x:v>2</x:v>
      </x:c>
      <x:c r="AB11" s="10" t="n">
        <x:f>COUNTIF(pores!$B$2:$B$5028,A11)</x:f>
        <x:v>3</x:v>
      </x:c>
      <x:c r="AC11" s="10" t="n">
        <x:f>COUNTIF(evidence!$B$2:$B$10000,A11)</x:f>
        <x:v>6</x:v>
      </x:c>
      <x:c r="AD11" s="10" t="s">
        <x:v>264</x:v>
      </x:c>
      <x:c r="AE11" s="10" t="s">
        <x:v>265</x:v>
      </x:c>
      <x:c r="AF11" s="10"/>
      <x:c r="AG11" s="16" t="s">
        <x:v>266</x:v>
      </x:c>
    </x:row>
    <x:row r="12" ht="46.599998474121094" customHeight="1">
      <x:c r="A12" s="13" t="s">
        <x:v>267</x:v>
      </x:c>
      <x:c r="B12" s="7" t="s">
        <x:v>268</x:v>
      </x:c>
      <x:c r="C12" s="7" t="s">
        <x:v>137</x:v>
      </x:c>
      <x:c r="D12" s="7" t="s">
        <x:v>269</x:v>
      </x:c>
      <x:c r="E12" s="7" t="s">
        <x:v>270</x:v>
      </x:c>
      <x:c r="F12" s="7" t="s">
        <x:v>271</x:v>
      </x:c>
      <x:c r="G12" s="7">
        <x:v>246196</x:v>
      </x:c>
      <x:c r="H12" s="7"/>
      <x:c r="I12" s="7" t="s">
        <x:v>272</x:v>
      </x:c>
      <x:c r="J12" s="7"/>
      <x:c r="K12" s="7">
        <x:v>265</x:v>
      </x:c>
      <x:c r="L12" s="7" t="s">
        <x:v>243</x:v>
      </x:c>
      <x:c r="M12" s="7" t="s">
        <x:v>123</x:v>
      </x:c>
      <x:c r="N12" s="7" t="s">
        <x:v>124</x:v>
      </x:c>
      <x:c r="O12" s="7"/>
      <x:c r="P12" s="7"/>
      <x:c r="Q12" s="7" t="s">
        <x:v>125</x:v>
      </x:c>
      <x:c r="R12" s="7" t="s">
        <x:v>184</x:v>
      </x:c>
      <x:c r="S12" s="8" t="b">
        <x:v>0</x:v>
      </x:c>
      <x:c r="T12" s="7"/>
      <x:c r="U12" s="7" t="s">
        <x:v>273</x:v>
      </x:c>
      <x:c r="V12" s="7" t="s">
        <x:v>274</x:v>
      </x:c>
      <x:c r="W12" s="7" t="s">
        <x:v>275</x:v>
      </x:c>
      <x:c r="X12" s="7" t="s">
        <x:v>276</x:v>
      </x:c>
      <x:c r="Y12" s="7" t="s">
        <x:v>277</x:v>
      </x:c>
      <x:c r="Z12" s="7">
        <x:f t="shared" si="0"/>
        <x:v>2</x:v>
      </x:c>
      <x:c r="AA12" s="7" t="n">
        <x:f>COUNTIF(assemblies!$B$2:$B$2029,A12)</x:f>
        <x:v>1</x:v>
      </x:c>
      <x:c r="AB12" s="7" t="n">
        <x:f>COUNTIF(pores!$B$2:$B$5028,A12)</x:f>
        <x:v>4</x:v>
      </x:c>
      <x:c r="AC12" s="7" t="n">
        <x:f>COUNTIF(evidence!$B$2:$B$10000,A12)</x:f>
        <x:v>6</x:v>
      </x:c>
      <x:c r="AD12" s="7" t="s">
        <x:v>278</x:v>
      </x:c>
      <x:c r="AE12" s="7" t="s">
        <x:v>279</x:v>
      </x:c>
      <x:c r="AF12" s="7"/>
      <x:c r="AG12" s="15" t="s">
        <x:v>280</x:v>
      </x:c>
    </x:row>
    <x:row r="13" ht="46.599998474121094" customHeight="1">
      <x:c r="A13" s="14" t="s">
        <x:v>281</x:v>
      </x:c>
      <x:c r="B13" s="10" t="s">
        <x:v>282</x:v>
      </x:c>
      <x:c r="C13" s="10" t="s">
        <x:v>137</x:v>
      </x:c>
      <x:c r="D13" s="10" t="s">
        <x:v>283</x:v>
      </x:c>
      <x:c r="E13" s="10" t="s">
        <x:v>284</x:v>
      </x:c>
      <x:c r="F13" s="10" t="s">
        <x:v>168</x:v>
      </x:c>
      <x:c r="G13" s="10">
        <x:v>796606</x:v>
      </x:c>
      <x:c r="H13" s="10"/>
      <x:c r="I13" s="10"/>
      <x:c r="J13" s="10" t="s">
        <x:v>285</x:v>
      </x:c>
      <x:c r="K13" s="10">
        <x:v>282</x:v>
      </x:c>
      <x:c r="L13" s="10" t="s">
        <x:v>243</x:v>
      </x:c>
      <x:c r="M13" s="10" t="s">
        <x:v>123</x:v>
      </x:c>
      <x:c r="N13" s="10" t="s">
        <x:v>124</x:v>
      </x:c>
      <x:c r="O13" s="10"/>
      <x:c r="P13" s="10"/>
      <x:c r="Q13" s="10" t="s">
        <x:v>125</x:v>
      </x:c>
      <x:c r="R13" s="10" t="s">
        <x:v>258</x:v>
      </x:c>
      <x:c r="S13" s="11" t="b">
        <x:v>0</x:v>
      </x:c>
      <x:c r="T13" s="10"/>
      <x:c r="U13" s="10" t="s">
        <x:v>286</x:v>
      </x:c>
      <x:c r="V13" s="10" t="s">
        <x:v>287</x:v>
      </x:c>
      <x:c r="W13" s="10" t="s">
        <x:v>288</x:v>
      </x:c>
      <x:c r="X13" s="10" t="s">
        <x:v>289</x:v>
      </x:c>
      <x:c r="Y13" s="10" t="s">
        <x:v>290</x:v>
      </x:c>
      <x:c r="Z13" s="10">
        <x:f t="shared" si="0"/>
        <x:v>1</x:v>
      </x:c>
      <x:c r="AA13" s="10" t="n">
        <x:f>COUNTIF(assemblies!$B$2:$B$2029,A13)</x:f>
        <x:v>1</x:v>
      </x:c>
      <x:c r="AB13" s="10" t="n">
        <x:f>COUNTIF(pores!$B$2:$B$5028,A13)</x:f>
        <x:v>0</x:v>
      </x:c>
      <x:c r="AC13" s="10" t="n">
        <x:f>COUNTIF(evidence!$B$2:$B$10000,A13)</x:f>
        <x:v>2</x:v>
      </x:c>
      <x:c r="AD13" s="10" t="s">
        <x:v>291</x:v>
      </x:c>
      <x:c r="AE13" s="10" t="s">
        <x:v>292</x:v>
      </x:c>
      <x:c r="AF13" s="10" t="s">
        <x:v>293</x:v>
      </x:c>
      <x:c r="AG13" s="16"/>
    </x:row>
    <x:row r="14" ht="59.95000076293945" customHeight="1">
      <x:c r="A14" s="13" t="s">
        <x:v>294</x:v>
      </x:c>
      <x:c r="B14" s="7" t="s">
        <x:v>295</x:v>
      </x:c>
      <x:c r="C14" s="7" t="s">
        <x:v>137</x:v>
      </x:c>
      <x:c r="D14" s="7" t="s">
        <x:v>296</x:v>
      </x:c>
      <x:c r="E14" s="7" t="s">
        <x:v>297</x:v>
      </x:c>
      <x:c r="F14" s="7" t="s">
        <x:v>271</x:v>
      </x:c>
      <x:c r="G14" s="7">
        <x:v>1122247</x:v>
      </x:c>
      <x:c r="H14" s="7" t="s">
        <x:v>298</x:v>
      </x:c>
      <x:c r="I14" s="7"/>
      <x:c r="J14" s="7" t="s">
        <x:v>299</x:v>
      </x:c>
      <x:c r="K14" s="7">
        <x:v>265</x:v>
      </x:c>
      <x:c r="L14" s="7" t="s">
        <x:v>243</x:v>
      </x:c>
      <x:c r="M14" s="7" t="s">
        <x:v>123</x:v>
      </x:c>
      <x:c r="N14" s="7" t="s">
        <x:v>124</x:v>
      </x:c>
      <x:c r="O14" s="7"/>
      <x:c r="P14" s="7"/>
      <x:c r="Q14" s="7" t="s">
        <x:v>125</x:v>
      </x:c>
      <x:c r="R14" s="7" t="s">
        <x:v>258</x:v>
      </x:c>
      <x:c r="S14" s="8" t="b">
        <x:v>0</x:v>
      </x:c>
      <x:c r="T14" s="7"/>
      <x:c r="U14" s="7" t="s">
        <x:v>300</x:v>
      </x:c>
      <x:c r="V14" s="7" t="s">
        <x:v>301</x:v>
      </x:c>
      <x:c r="W14" s="7" t="s">
        <x:v>302</x:v>
      </x:c>
      <x:c r="X14" s="7" t="s">
        <x:v>303</x:v>
      </x:c>
      <x:c r="Y14" s="7"/>
      <x:c r="Z14" s="7">
        <x:f t="shared" si="0"/>
        <x:v>1</x:v>
      </x:c>
      <x:c r="AA14" s="7" t="n">
        <x:f>COUNTIF(assemblies!$B$2:$B$2029,A14)</x:f>
        <x:v>1</x:v>
      </x:c>
      <x:c r="AB14" s="7" t="n">
        <x:f>COUNTIF(pores!$B$2:$B$5028,A14)</x:f>
        <x:v>3</x:v>
      </x:c>
      <x:c r="AC14" s="7" t="n">
        <x:f>COUNTIF(evidence!$B$2:$B$10000,A14)</x:f>
        <x:v>5</x:v>
      </x:c>
      <x:c r="AD14" s="7" t="s">
        <x:v>304</x:v>
      </x:c>
      <x:c r="AE14" s="7" t="s">
        <x:v>305</x:v>
      </x:c>
      <x:c r="AF14" s="7"/>
      <x:c r="AG14" s="15" t="s">
        <x:v>306</x:v>
      </x:c>
    </x:row>
    <x:row r="15" ht="46.599998474121094" customHeight="1">
      <x:c r="A15" s="14" t="s">
        <x:v>307</x:v>
      </x:c>
      <x:c r="B15" s="10" t="s">
        <x:v>308</x:v>
      </x:c>
      <x:c r="C15" s="10" t="s">
        <x:v>309</x:v>
      </x:c>
      <x:c r="D15" s="10" t="s">
        <x:v>310</x:v>
      </x:c>
      <x:c r="E15" s="10"/>
      <x:c r="F15" s="10" t="s">
        <x:v>311</x:v>
      </x:c>
      <x:c r="G15" s="10">
        <x:v>573</x:v>
      </x:c>
      <x:c r="H15" s="10"/>
      <x:c r="I15" s="10"/>
      <x:c r="J15" s="10" t="s">
        <x:v>312</x:v>
      </x:c>
      <x:c r="K15" s="10">
        <x:v>268</x:v>
      </x:c>
      <x:c r="L15" s="10" t="s">
        <x:v>243</x:v>
      </x:c>
      <x:c r="M15" s="10" t="s">
        <x:v>123</x:v>
      </x:c>
      <x:c r="N15" s="10" t="s">
        <x:v>124</x:v>
      </x:c>
      <x:c r="O15" s="10"/>
      <x:c r="P15" s="10"/>
      <x:c r="Q15" s="10" t="s">
        <x:v>125</x:v>
      </x:c>
      <x:c r="R15" s="10" t="s">
        <x:v>184</x:v>
      </x:c>
      <x:c r="S15" s="11" t="b">
        <x:v>0</x:v>
      </x:c>
      <x:c r="T15" s="10"/>
      <x:c r="U15" s="10" t="s">
        <x:v>313</x:v>
      </x:c>
      <x:c r="V15" s="10" t="s">
        <x:v>314</x:v>
      </x:c>
      <x:c r="W15" s="10" t="s">
        <x:v>315</x:v>
      </x:c>
      <x:c r="X15" s="10" t="s">
        <x:v>316</x:v>
      </x:c>
      <x:c r="Y15" s="10" t="s">
        <x:v>317</x:v>
      </x:c>
      <x:c r="Z15" s="10">
        <x:f t="shared" si="0"/>
        <x:v>2</x:v>
      </x:c>
      <x:c r="AA15" s="10" t="n">
        <x:f>COUNTIF(assemblies!$B$2:$B$2029,A15)</x:f>
        <x:v>1</x:v>
      </x:c>
      <x:c r="AB15" s="10" t="n">
        <x:f>COUNTIF(pores!$B$2:$B$5028,A15)</x:f>
        <x:v>2</x:v>
      </x:c>
      <x:c r="AC15" s="10" t="n">
        <x:f>COUNTIF(evidence!$B$2:$B$10000,A15)</x:f>
        <x:v>4</x:v>
      </x:c>
      <x:c r="AD15" s="10" t="s">
        <x:v>318</x:v>
      </x:c>
      <x:c r="AE15" s="10" t="s">
        <x:v>319</x:v>
      </x:c>
      <x:c r="AF15" s="10"/>
      <x:c r="AG15" s="16" t="s">
        <x:v>320</x:v>
      </x:c>
    </x:row>
    <x:row r="16" ht="59.95000076293945" customHeight="1">
      <x:c r="A16" s="13" t="s">
        <x:v>321</x:v>
      </x:c>
      <x:c r="B16" s="7" t="s">
        <x:v>322</x:v>
      </x:c>
      <x:c r="C16" s="7" t="s">
        <x:v>137</x:v>
      </x:c>
      <x:c r="D16" s="7" t="s">
        <x:v>323</x:v>
      </x:c>
      <x:c r="E16" s="7" t="s">
        <x:v>324</x:v>
      </x:c>
      <x:c r="F16" s="7" t="s">
        <x:v>140</x:v>
      </x:c>
      <x:c r="G16" s="7">
        <x:v>390874</x:v>
      </x:c>
      <x:c r="H16" s="7" t="s">
        <x:v>141</x:v>
      </x:c>
      <x:c r="I16" s="7" t="s">
        <x:v>325</x:v>
      </x:c>
      <x:c r="J16" s="7"/>
      <x:c r="K16" s="7">
        <x:v>265</x:v>
      </x:c>
      <x:c r="L16" s="7" t="s">
        <x:v>122</x:v>
      </x:c>
      <x:c r="M16" s="7" t="s">
        <x:v>123</x:v>
      </x:c>
      <x:c r="N16" s="7" t="s">
        <x:v>124</x:v>
      </x:c>
      <x:c r="O16" s="7"/>
      <x:c r="P16" s="7"/>
      <x:c r="Q16" s="7" t="s">
        <x:v>326</x:v>
      </x:c>
      <x:c r="R16" s="7" t="s">
        <x:v>184</x:v>
      </x:c>
      <x:c r="S16" s="8" t="b">
        <x:v>0</x:v>
      </x:c>
      <x:c r="T16" s="7"/>
      <x:c r="U16" s="7"/>
      <x:c r="V16" s="7" t="s">
        <x:v>327</x:v>
      </x:c>
      <x:c r="W16" s="7" t="s">
        <x:v>328</x:v>
      </x:c>
      <x:c r="X16" s="7"/>
      <x:c r="Y16" s="7"/>
      <x:c r="Z16" s="7" t="str">
        <x:f t="shared" si="0"/>
      </x:c>
      <x:c r="AA16" s="7" t="n">
        <x:f>COUNTIF(assemblies!$B$2:$B$2029,A16)</x:f>
        <x:v>0</x:v>
      </x:c>
      <x:c r="AB16" s="7" t="n">
        <x:f>COUNTIF(pores!$B$2:$B$5028,A16)</x:f>
        <x:v>0</x:v>
      </x:c>
      <x:c r="AC16" s="7" t="n">
        <x:f>COUNTIF(evidence!$B$2:$B$10000,A16)</x:f>
        <x:v>1</x:v>
      </x:c>
      <x:c r="AD16" s="7"/>
      <x:c r="AE16" s="7" t="s">
        <x:v>329</x:v>
      </x:c>
      <x:c r="AF16" s="7" t="s">
        <x:v>330</x:v>
      </x:c>
      <x:c r="AG16" s="15"/>
    </x:row>
    <x:row r="17" ht="59.95000076293945" customHeight="1">
      <x:c r="A17" s="14" t="s">
        <x:v>331</x:v>
      </x:c>
      <x:c r="B17" s="10" t="s">
        <x:v>332</x:v>
      </x:c>
      <x:c r="C17" s="10" t="s">
        <x:v>137</x:v>
      </x:c>
      <x:c r="D17" s="10" t="s">
        <x:v>333</x:v>
      </x:c>
      <x:c r="E17" s="10" t="s">
        <x:v>334</x:v>
      </x:c>
      <x:c r="F17" s="10" t="s">
        <x:v>140</x:v>
      </x:c>
      <x:c r="G17" s="10">
        <x:v>126740</x:v>
      </x:c>
      <x:c r="H17" s="10" t="s">
        <x:v>141</x:v>
      </x:c>
      <x:c r="I17" s="10" t="s">
        <x:v>335</x:v>
      </x:c>
      <x:c r="J17" s="10"/>
      <x:c r="K17" s="10">
        <x:v>265</x:v>
      </x:c>
      <x:c r="L17" s="10" t="s">
        <x:v>122</x:v>
      </x:c>
      <x:c r="M17" s="10" t="s">
        <x:v>123</x:v>
      </x:c>
      <x:c r="N17" s="10" t="s">
        <x:v>124</x:v>
      </x:c>
      <x:c r="O17" s="10"/>
      <x:c r="P17" s="10"/>
      <x:c r="Q17" s="10" t="s">
        <x:v>326</x:v>
      </x:c>
      <x:c r="R17" s="10" t="s">
        <x:v>184</x:v>
      </x:c>
      <x:c r="S17" s="11" t="b">
        <x:v>0</x:v>
      </x:c>
      <x:c r="T17" s="10"/>
      <x:c r="U17" s="10"/>
      <x:c r="V17" s="10" t="s">
        <x:v>327</x:v>
      </x:c>
      <x:c r="W17" s="10" t="s">
        <x:v>336</x:v>
      </x:c>
      <x:c r="X17" s="10"/>
      <x:c r="Y17" s="10"/>
      <x:c r="Z17" s="10" t="str">
        <x:f t="shared" si="0"/>
      </x:c>
      <x:c r="AA17" s="10" t="n">
        <x:f>COUNTIF(assemblies!$B$2:$B$2029,A17)</x:f>
        <x:v>0</x:v>
      </x:c>
      <x:c r="AB17" s="10" t="n">
        <x:f>COUNTIF(pores!$B$2:$B$5028,A17)</x:f>
        <x:v>0</x:v>
      </x:c>
      <x:c r="AC17" s="10" t="n">
        <x:f>COUNTIF(evidence!$B$2:$B$10000,A17)</x:f>
        <x:v>1</x:v>
      </x:c>
      <x:c r="AD17" s="10"/>
      <x:c r="AE17" s="10" t="s">
        <x:v>337</x:v>
      </x:c>
      <x:c r="AF17" s="10" t="s">
        <x:v>330</x:v>
      </x:c>
      <x:c r="AG17" s="16"/>
    </x:row>
    <x:row r="18" ht="59.95000076293945" customHeight="1">
      <x:c r="A18" s="13" t="s">
        <x:v>338</x:v>
      </x:c>
      <x:c r="B18" s="7" t="s">
        <x:v>339</x:v>
      </x:c>
      <x:c r="C18" s="7" t="s">
        <x:v>137</x:v>
      </x:c>
      <x:c r="D18" s="7" t="s">
        <x:v>340</x:v>
      </x:c>
      <x:c r="E18" s="7" t="s">
        <x:v>341</x:v>
      </x:c>
      <x:c r="F18" s="7" t="s">
        <x:v>342</x:v>
      </x:c>
      <x:c r="G18" s="7">
        <x:v>234621</x:v>
      </x:c>
      <x:c r="H18" s="7" t="s">
        <x:v>141</x:v>
      </x:c>
      <x:c r="I18" s="7" t="s">
        <x:v>343</x:v>
      </x:c>
      <x:c r="J18" s="7"/>
      <x:c r="K18" s="7">
        <x:v>264</x:v>
      </x:c>
      <x:c r="L18" s="7" t="s">
        <x:v>122</x:v>
      </x:c>
      <x:c r="M18" s="7" t="s">
        <x:v>123</x:v>
      </x:c>
      <x:c r="N18" s="7" t="s">
        <x:v>124</x:v>
      </x:c>
      <x:c r="O18" s="7"/>
      <x:c r="P18" s="7"/>
      <x:c r="Q18" s="7" t="s">
        <x:v>326</x:v>
      </x:c>
      <x:c r="R18" s="7" t="s">
        <x:v>184</x:v>
      </x:c>
      <x:c r="S18" s="8" t="b">
        <x:v>0</x:v>
      </x:c>
      <x:c r="T18" s="7"/>
      <x:c r="U18" s="7"/>
      <x:c r="V18" s="7" t="s">
        <x:v>344</x:v>
      </x:c>
      <x:c r="W18" s="7" t="s">
        <x:v>345</x:v>
      </x:c>
      <x:c r="X18" s="7"/>
      <x:c r="Y18" s="7"/>
      <x:c r="Z18" s="7" t="str">
        <x:f t="shared" si="0"/>
      </x:c>
      <x:c r="AA18" s="7" t="n">
        <x:f>COUNTIF(assemblies!$B$2:$B$2029,A18)</x:f>
        <x:v>0</x:v>
      </x:c>
      <x:c r="AB18" s="7" t="n">
        <x:f>COUNTIF(pores!$B$2:$B$5028,A18)</x:f>
        <x:v>0</x:v>
      </x:c>
      <x:c r="AC18" s="7" t="n">
        <x:f>COUNTIF(evidence!$B$2:$B$10000,A18)</x:f>
        <x:v>1</x:v>
      </x:c>
      <x:c r="AD18" s="7" t="s">
        <x:v>346</x:v>
      </x:c>
      <x:c r="AE18" s="7" t="s">
        <x:v>347</x:v>
      </x:c>
      <x:c r="AF18" s="7" t="s">
        <x:v>330</x:v>
      </x:c>
      <x:c r="AG18" s="15" t="s">
        <x:v>348</x:v>
      </x:c>
    </x:row>
    <x:row r="19" ht="59.95000076293945" customHeight="1">
      <x:c r="A19" s="14" t="s">
        <x:v>349</x:v>
      </x:c>
      <x:c r="B19" s="10" t="s">
        <x:v>350</x:v>
      </x:c>
      <x:c r="C19" s="10" t="s">
        <x:v>351</x:v>
      </x:c>
      <x:c r="D19" s="10" t="s">
        <x:v>352</x:v>
      </x:c>
      <x:c r="E19" s="10" t="s">
        <x:v>353</x:v>
      </x:c>
      <x:c r="F19" s="10" t="s">
        <x:v>271</x:v>
      </x:c>
      <x:c r="G19" s="10">
        <x:v>262316</x:v>
      </x:c>
      <x:c r="H19" s="10" t="s">
        <x:v>354</x:v>
      </x:c>
      <x:c r="I19" s="10" t="s">
        <x:v>355</x:v>
      </x:c>
      <x:c r="J19" s="10"/>
      <x:c r="K19" s="10">
        <x:v>307</x:v>
      </x:c>
      <x:c r="L19" s="10" t="s">
        <x:v>122</x:v>
      </x:c>
      <x:c r="M19" s="10" t="s">
        <x:v>200</x:v>
      </x:c>
      <x:c r="N19" s="10" t="s">
        <x:v>124</x:v>
      </x:c>
      <x:c r="O19" s="10"/>
      <x:c r="P19" s="10"/>
      <x:c r="Q19" s="10" t="s">
        <x:v>326</x:v>
      </x:c>
      <x:c r="R19" s="10" t="s">
        <x:v>184</x:v>
      </x:c>
      <x:c r="S19" s="11" t="b">
        <x:v>0</x:v>
      </x:c>
      <x:c r="T19" s="10"/>
      <x:c r="U19" s="10"/>
      <x:c r="V19" s="10" t="s">
        <x:v>356</x:v>
      </x:c>
      <x:c r="W19" s="10" t="s">
        <x:v>357</x:v>
      </x:c>
      <x:c r="X19" s="10"/>
      <x:c r="Y19" s="10"/>
      <x:c r="Z19" s="10" t="str">
        <x:f t="shared" si="0"/>
      </x:c>
      <x:c r="AA19" s="10" t="n">
        <x:f>COUNTIF(assemblies!$B$2:$B$2029,A19)</x:f>
        <x:v>0</x:v>
      </x:c>
      <x:c r="AB19" s="10" t="n">
        <x:f>COUNTIF(pores!$B$2:$B$5028,A19)</x:f>
        <x:v>0</x:v>
      </x:c>
      <x:c r="AC19" s="10" t="n">
        <x:f>COUNTIF(evidence!$B$2:$B$10000,A19)</x:f>
        <x:v>1</x:v>
      </x:c>
      <x:c r="AD19" s="10" t="s">
        <x:v>358</x:v>
      </x:c>
      <x:c r="AE19" s="10" t="s">
        <x:v>359</x:v>
      </x:c>
      <x:c r="AF19" s="10" t="s">
        <x:v>330</x:v>
      </x:c>
      <x:c r="AG19" s="16" t="s">
        <x:v>207</x:v>
      </x:c>
    </x:row>
    <x:row r="20" ht="46.599998474121094" customHeight="1">
      <x:c r="A20" s="13" t="s">
        <x:v>360</x:v>
      </x:c>
      <x:c r="B20" s="7" t="s">
        <x:v>361</x:v>
      </x:c>
      <x:c r="C20" s="7" t="s">
        <x:v>351</x:v>
      </x:c>
      <x:c r="D20" s="7" t="s">
        <x:v>362</x:v>
      </x:c>
      <x:c r="E20" s="24" t="s">
        <x:v>363</x:v>
      </x:c>
      <x:c r="F20" s="7" t="s">
        <x:v>154</x:v>
      </x:c>
      <x:c r="G20" s="7">
        <x:v>272631</x:v>
      </x:c>
      <x:c r="H20" s="7" t="s">
        <x:v>141</x:v>
      </x:c>
      <x:c r="I20" s="7" t="s">
        <x:v>364</x:v>
      </x:c>
      <x:c r="J20" s="7" t="s">
        <x:v>365</x:v>
      </x:c>
      <x:c r="K20" s="7">
        <x:v>307</x:v>
      </x:c>
      <x:c r="L20" s="7" t="s">
        <x:v>122</x:v>
      </x:c>
      <x:c r="M20" s="7" t="s">
        <x:v>200</x:v>
      </x:c>
      <x:c r="N20" s="7" t="s">
        <x:v>124</x:v>
      </x:c>
      <x:c r="O20" s="7"/>
      <x:c r="P20" s="7"/>
      <x:c r="Q20" s="7" t="s">
        <x:v>326</x:v>
      </x:c>
      <x:c r="R20" s="7" t="s">
        <x:v>184</x:v>
      </x:c>
      <x:c r="S20" s="8" t="b">
        <x:v>0</x:v>
      </x:c>
      <x:c r="T20" s="7"/>
      <x:c r="U20" s="7"/>
      <x:c r="V20" s="7" t="s">
        <x:v>366</x:v>
      </x:c>
      <x:c r="W20" s="7" t="s">
        <x:v>367</x:v>
      </x:c>
      <x:c r="X20" s="7"/>
      <x:c r="Y20" s="7"/>
      <x:c r="Z20" s="7" t="str">
        <x:f t="shared" si="0"/>
      </x:c>
      <x:c r="AA20" s="7" t="n">
        <x:f>COUNTIF(assemblies!$B$2:$B$2029,A20)</x:f>
        <x:v>0</x:v>
      </x:c>
      <x:c r="AB20" s="7" t="n">
        <x:f>COUNTIF(pores!$B$2:$B$5028,A20)</x:f>
        <x:v>0</x:v>
      </x:c>
      <x:c r="AC20" s="7" t="n">
        <x:f>COUNTIF(evidence!$B$2:$B$10000,A20)</x:f>
        <x:v>1</x:v>
      </x:c>
      <x:c r="AD20" s="7" t="s">
        <x:v>368</x:v>
      </x:c>
      <x:c r="AE20" s="7" t="s">
        <x:v>369</x:v>
      </x:c>
      <x:c r="AF20" s="7" t="s">
        <x:v>330</x:v>
      </x:c>
      <x:c r="AG20" s="15"/>
    </x:row>
    <x:row r="21" ht="59.95000076293945" customHeight="1">
      <x:c r="A21" s="14" t="s">
        <x:v>370</x:v>
      </x:c>
      <x:c r="B21" s="10" t="s">
        <x:v>371</x:v>
      </x:c>
      <x:c r="C21" s="10" t="s">
        <x:v>137</x:v>
      </x:c>
      <x:c r="D21" s="10" t="s">
        <x:v>372</x:v>
      </x:c>
      <x:c r="E21" s="10" t="s">
        <x:v>373</x:v>
      </x:c>
      <x:c r="F21" s="10" t="s">
        <x:v>374</x:v>
      </x:c>
      <x:c r="G21" s="10">
        <x:v>269796</x:v>
      </x:c>
      <x:c r="H21" s="10" t="s">
        <x:v>141</x:v>
      </x:c>
      <x:c r="I21" s="10" t="s">
        <x:v>375</x:v>
      </x:c>
      <x:c r="J21" s="10"/>
      <x:c r="K21" s="10">
        <x:v>280</x:v>
      </x:c>
      <x:c r="L21" s="10" t="s">
        <x:v>122</x:v>
      </x:c>
      <x:c r="M21" s="10" t="s">
        <x:v>123</x:v>
      </x:c>
      <x:c r="N21" s="10" t="s">
        <x:v>124</x:v>
      </x:c>
      <x:c r="O21" s="10"/>
      <x:c r="P21" s="10"/>
      <x:c r="Q21" s="10" t="s">
        <x:v>125</x:v>
      </x:c>
      <x:c r="R21" s="10" t="s">
        <x:v>184</x:v>
      </x:c>
      <x:c r="S21" s="11" t="b">
        <x:v>0</x:v>
      </x:c>
      <x:c r="T21" s="10"/>
      <x:c r="U21" s="10" t="s">
        <x:v>376</x:v>
      </x:c>
      <x:c r="V21" s="10" t="s">
        <x:v>377</x:v>
      </x:c>
      <x:c r="W21" s="10" t="s">
        <x:v>378</x:v>
      </x:c>
      <x:c r="X21" s="10" t="s">
        <x:v>379</x:v>
      </x:c>
      <x:c r="Y21" s="10" t="s">
        <x:v>380</x:v>
      </x:c>
      <x:c r="Z21" s="10">
        <x:f t="shared" si="0"/>
        <x:v>6</x:v>
      </x:c>
      <x:c r="AA21" s="10" t="n">
        <x:f>COUNTIF(assemblies!$B$2:$B$2029,A21)</x:f>
        <x:v>2</x:v>
      </x:c>
      <x:c r="AB21" s="10" t="n">
        <x:f>COUNTIF(pores!$B$2:$B$5028,A21)</x:f>
        <x:v>1</x:v>
      </x:c>
      <x:c r="AC21" s="10" t="n">
        <x:f>COUNTIF(evidence!$B$2:$B$10000,A21)</x:f>
        <x:v>4</x:v>
      </x:c>
      <x:c r="AD21" s="10" t="s">
        <x:v>381</x:v>
      </x:c>
      <x:c r="AE21" s="10" t="s">
        <x:v>382</x:v>
      </x:c>
      <x:c r="AF21" s="10"/>
      <x:c r="AG21" s="16" t="s">
        <x:v>383</x:v>
      </x:c>
    </x:row>
    <x:row r="22" ht="59.95000076293945" customHeight="1">
      <x:c r="A22" s="13" t="s">
        <x:v>384</x:v>
      </x:c>
      <x:c r="B22" s="7" t="s">
        <x:v>385</x:v>
      </x:c>
      <x:c r="C22" s="7" t="s">
        <x:v>351</x:v>
      </x:c>
      <x:c r="D22" s="7" t="s">
        <x:v>386</x:v>
      </x:c>
      <x:c r="E22" s="7" t="s">
        <x:v>387</x:v>
      </x:c>
      <x:c r="F22" s="7" t="s">
        <x:v>154</x:v>
      </x:c>
      <x:c r="G22" s="7">
        <x:v>1764</x:v>
      </x:c>
      <x:c r="H22" s="7" t="s">
        <x:v>141</x:v>
      </x:c>
      <x:c r="I22" s="7"/>
      <x:c r="J22" s="7"/>
      <x:c r="K22" s="7">
        <x:v>307</x:v>
      </x:c>
      <x:c r="L22" s="7" t="s">
        <x:v>122</x:v>
      </x:c>
      <x:c r="M22" s="7" t="s">
        <x:v>200</x:v>
      </x:c>
      <x:c r="N22" s="7" t="s">
        <x:v>124</x:v>
      </x:c>
      <x:c r="O22" s="7"/>
      <x:c r="P22" s="7"/>
      <x:c r="Q22" s="7" t="s">
        <x:v>326</x:v>
      </x:c>
      <x:c r="R22" s="7" t="s">
        <x:v>184</x:v>
      </x:c>
      <x:c r="S22" s="8" t="b">
        <x:v>0</x:v>
      </x:c>
      <x:c r="T22" s="7"/>
      <x:c r="U22" s="7"/>
      <x:c r="V22" s="7" t="s">
        <x:v>388</x:v>
      </x:c>
      <x:c r="W22" s="7" t="s">
        <x:v>389</x:v>
      </x:c>
      <x:c r="X22" s="7"/>
      <x:c r="Y22" s="7"/>
      <x:c r="Z22" s="7" t="str">
        <x:f t="shared" si="0"/>
      </x:c>
      <x:c r="AA22" s="7" t="n">
        <x:f>COUNTIF(assemblies!$B$2:$B$2029,A22)</x:f>
        <x:v>0</x:v>
      </x:c>
      <x:c r="AB22" s="7" t="n">
        <x:f>COUNTIF(pores!$B$2:$B$5028,A22)</x:f>
        <x:v>0</x:v>
      </x:c>
      <x:c r="AC22" s="7" t="n">
        <x:f>COUNTIF(evidence!$B$2:$B$10000,A22)</x:f>
        <x:v>1</x:v>
      </x:c>
      <x:c r="AD22" s="7" t="s">
        <x:v>390</x:v>
      </x:c>
      <x:c r="AE22" s="7" t="s">
        <x:v>391</x:v>
      </x:c>
      <x:c r="AF22" s="7" t="s">
        <x:v>330</x:v>
      </x:c>
      <x:c r="AG22" s="15"/>
    </x:row>
    <x:row r="23" ht="59.95000076293945" customHeight="1">
      <x:c r="A23" s="14" t="s">
        <x:v>392</x:v>
      </x:c>
      <x:c r="B23" s="10" t="s">
        <x:v>393</x:v>
      </x:c>
      <x:c r="C23" s="10" t="s">
        <x:v>137</x:v>
      </x:c>
      <x:c r="D23" s="10" t="s">
        <x:v>352</x:v>
      </x:c>
      <x:c r="E23" s="10" t="s">
        <x:v>394</x:v>
      </x:c>
      <x:c r="F23" s="10" t="s">
        <x:v>271</x:v>
      </x:c>
      <x:c r="G23" s="10">
        <x:v>262316</x:v>
      </x:c>
      <x:c r="H23" s="10" t="s">
        <x:v>395</x:v>
      </x:c>
      <x:c r="I23" s="10" t="s">
        <x:v>396</x:v>
      </x:c>
      <x:c r="J23" s="10"/>
      <x:c r="K23" s="10">
        <x:v>265</x:v>
      </x:c>
      <x:c r="L23" s="10" t="s">
        <x:v>122</x:v>
      </x:c>
      <x:c r="M23" s="10" t="s">
        <x:v>123</x:v>
      </x:c>
      <x:c r="N23" s="10" t="s">
        <x:v>124</x:v>
      </x:c>
      <x:c r="O23" s="10"/>
      <x:c r="P23" s="10"/>
      <x:c r="Q23" s="10" t="s">
        <x:v>326</x:v>
      </x:c>
      <x:c r="R23" s="10" t="s">
        <x:v>184</x:v>
      </x:c>
      <x:c r="S23" s="11" t="b">
        <x:v>0</x:v>
      </x:c>
      <x:c r="T23" s="10"/>
      <x:c r="U23" s="10"/>
      <x:c r="V23" s="10" t="s">
        <x:v>397</x:v>
      </x:c>
      <x:c r="W23" s="10" t="s">
        <x:v>398</x:v>
      </x:c>
      <x:c r="X23" s="10"/>
      <x:c r="Y23" s="10"/>
      <x:c r="Z23" s="10" t="str">
        <x:f t="shared" si="0"/>
      </x:c>
      <x:c r="AA23" s="10" t="n">
        <x:f>COUNTIF(assemblies!$B$2:$B$2029,A23)</x:f>
        <x:v>0</x:v>
      </x:c>
      <x:c r="AB23" s="10" t="n">
        <x:f>COUNTIF(pores!$B$2:$B$5028,A23)</x:f>
        <x:v>0</x:v>
      </x:c>
      <x:c r="AC23" s="10" t="n">
        <x:f>COUNTIF(evidence!$B$2:$B$10000,A23)</x:f>
        <x:v>1</x:v>
      </x:c>
      <x:c r="AD23" s="10" t="s">
        <x:v>399</x:v>
      </x:c>
      <x:c r="AE23" s="10" t="s">
        <x:v>400</x:v>
      </x:c>
      <x:c r="AF23" s="10" t="s">
        <x:v>330</x:v>
      </x:c>
      <x:c r="AG23" s="16"/>
    </x:row>
    <x:row r="24" ht="59.95000076293945" customHeight="1">
      <x:c r="A24" s="13" t="s">
        <x:v>401</x:v>
      </x:c>
      <x:c r="B24" s="7" t="s">
        <x:v>402</x:v>
      </x:c>
      <x:c r="C24" s="7" t="s">
        <x:v>137</x:v>
      </x:c>
      <x:c r="D24" s="7" t="s">
        <x:v>403</x:v>
      </x:c>
      <x:c r="E24" s="7" t="s">
        <x:v>404</x:v>
      </x:c>
      <x:c r="F24" s="7" t="s">
        <x:v>405</x:v>
      </x:c>
      <x:c r="G24" s="7">
        <x:v>1350482</x:v>
      </x:c>
      <x:c r="H24" s="7"/>
      <x:c r="I24" s="7"/>
      <x:c r="J24" s="7" t="s">
        <x:v>406</x:v>
      </x:c>
      <x:c r="K24" s="7">
        <x:v>286</x:v>
      </x:c>
      <x:c r="L24" s="7" t="s">
        <x:v>243</x:v>
      </x:c>
      <x:c r="M24" s="7" t="s">
        <x:v>123</x:v>
      </x:c>
      <x:c r="N24" s="7" t="s">
        <x:v>124</x:v>
      </x:c>
      <x:c r="O24" s="7"/>
      <x:c r="P24" s="7"/>
      <x:c r="Q24" s="7" t="s">
        <x:v>407</x:v>
      </x:c>
      <x:c r="R24" s="7" t="s">
        <x:v>258</x:v>
      </x:c>
      <x:c r="S24" s="8" t="b">
        <x:v>0</x:v>
      </x:c>
      <x:c r="T24" s="7"/>
      <x:c r="U24" s="7"/>
      <x:c r="V24" s="7"/>
      <x:c r="W24" s="7" t="s">
        <x:v>408</x:v>
      </x:c>
      <x:c r="X24" s="7"/>
      <x:c r="Y24" s="7"/>
      <x:c r="Z24" s="7" t="str">
        <x:f t="shared" si="0"/>
      </x:c>
      <x:c r="AA24" s="7" t="n">
        <x:f>COUNTIF(assemblies!$B$2:$B$2029,A24)</x:f>
        <x:v>0</x:v>
      </x:c>
      <x:c r="AB24" s="7" t="n">
        <x:f>COUNTIF(pores!$B$2:$B$5028,A24)</x:f>
        <x:v>0</x:v>
      </x:c>
      <x:c r="AC24" s="7" t="n">
        <x:f>COUNTIF(evidence!$B$2:$B$10000,A24)</x:f>
        <x:v>0</x:v>
      </x:c>
      <x:c r="AD24" s="7" t="s">
        <x:v>409</x:v>
      </x:c>
      <x:c r="AE24" s="7" t="s">
        <x:v>410</x:v>
      </x:c>
      <x:c r="AF24" s="7" t="s">
        <x:v>411</x:v>
      </x:c>
      <x:c r="AG24" s="15"/>
    </x:row>
    <x:row r="25" ht="59.95000076293945" customHeight="1">
      <x:c r="A25" s="14" t="s">
        <x:v>412</x:v>
      </x:c>
      <x:c r="B25" s="10" t="s">
        <x:v>413</x:v>
      </x:c>
      <x:c r="C25" s="10" t="s">
        <x:v>137</x:v>
      </x:c>
      <x:c r="D25" s="10" t="s">
        <x:v>414</x:v>
      </x:c>
      <x:c r="E25" s="10" t="s">
        <x:v>415</x:v>
      </x:c>
      <x:c r="F25" s="10" t="s">
        <x:v>416</x:v>
      </x:c>
      <x:c r="G25" s="10">
        <x:v>1173111</x:v>
      </x:c>
      <x:c r="H25" s="10"/>
      <x:c r="I25" s="10"/>
      <x:c r="J25" s="10" t="s">
        <x:v>417</x:v>
      </x:c>
      <x:c r="K25" s="10">
        <x:v>285</x:v>
      </x:c>
      <x:c r="L25" s="10" t="s">
        <x:v>243</x:v>
      </x:c>
      <x:c r="M25" s="10" t="s">
        <x:v>123</x:v>
      </x:c>
      <x:c r="N25" s="10" t="s">
        <x:v>124</x:v>
      </x:c>
      <x:c r="O25" s="10"/>
      <x:c r="P25" s="10"/>
      <x:c r="Q25" s="10" t="s">
        <x:v>407</x:v>
      </x:c>
      <x:c r="R25" s="10" t="s">
        <x:v>258</x:v>
      </x:c>
      <x:c r="S25" s="11" t="b">
        <x:v>0</x:v>
      </x:c>
      <x:c r="T25" s="10"/>
      <x:c r="U25" s="10"/>
      <x:c r="V25" s="10"/>
      <x:c r="W25" s="10" t="s">
        <x:v>418</x:v>
      </x:c>
      <x:c r="X25" s="10"/>
      <x:c r="Y25" s="10"/>
      <x:c r="Z25" s="10" t="str">
        <x:f t="shared" si="0"/>
      </x:c>
      <x:c r="AA25" s="10" t="n">
        <x:f>COUNTIF(assemblies!$B$2:$B$2029,A25)</x:f>
        <x:v>0</x:v>
      </x:c>
      <x:c r="AB25" s="10" t="n">
        <x:f>COUNTIF(pores!$B$2:$B$5028,A25)</x:f>
        <x:v>0</x:v>
      </x:c>
      <x:c r="AC25" s="10" t="n">
        <x:f>COUNTIF(evidence!$B$2:$B$10000,A25)</x:f>
        <x:v>0</x:v>
      </x:c>
      <x:c r="AD25" s="10" t="s">
        <x:v>419</x:v>
      </x:c>
      <x:c r="AE25" s="10" t="s">
        <x:v>420</x:v>
      </x:c>
      <x:c r="AF25" s="10" t="s">
        <x:v>411</x:v>
      </x:c>
      <x:c r="AG25" s="16"/>
    </x:row>
    <x:row r="26" ht="59.95000076293945" customHeight="1">
      <x:c r="A26" s="13" t="s">
        <x:v>421</x:v>
      </x:c>
      <x:c r="B26" s="7" t="s">
        <x:v>422</x:v>
      </x:c>
      <x:c r="C26" s="7" t="s">
        <x:v>137</x:v>
      </x:c>
      <x:c r="D26" s="7" t="s">
        <x:v>423</x:v>
      </x:c>
      <x:c r="E26" s="7" t="s">
        <x:v>424</x:v>
      </x:c>
      <x:c r="F26" s="7" t="s">
        <x:v>425</x:v>
      </x:c>
      <x:c r="G26" s="7">
        <x:v>46223</x:v>
      </x:c>
      <x:c r="H26" s="7"/>
      <x:c r="I26" s="7"/>
      <x:c r="J26" s="7" t="s">
        <x:v>426</x:v>
      </x:c>
      <x:c r="K26" s="7">
        <x:v>285</x:v>
      </x:c>
      <x:c r="L26" s="7" t="s">
        <x:v>243</x:v>
      </x:c>
      <x:c r="M26" s="7" t="s">
        <x:v>123</x:v>
      </x:c>
      <x:c r="N26" s="7" t="s">
        <x:v>124</x:v>
      </x:c>
      <x:c r="O26" s="7"/>
      <x:c r="P26" s="7"/>
      <x:c r="Q26" s="7" t="s">
        <x:v>407</x:v>
      </x:c>
      <x:c r="R26" s="7" t="s">
        <x:v>258</x:v>
      </x:c>
      <x:c r="S26" s="8" t="b">
        <x:v>0</x:v>
      </x:c>
      <x:c r="T26" s="7"/>
      <x:c r="U26" s="7"/>
      <x:c r="V26" s="7"/>
      <x:c r="W26" s="7" t="s">
        <x:v>427</x:v>
      </x:c>
      <x:c r="X26" s="7"/>
      <x:c r="Y26" s="7"/>
      <x:c r="Z26" s="7" t="str">
        <x:f t="shared" si="0"/>
      </x:c>
      <x:c r="AA26" s="7" t="n">
        <x:f>COUNTIF(assemblies!$B$2:$B$2029,A26)</x:f>
        <x:v>0</x:v>
      </x:c>
      <x:c r="AB26" s="7" t="n">
        <x:f>COUNTIF(pores!$B$2:$B$5028,A26)</x:f>
        <x:v>0</x:v>
      </x:c>
      <x:c r="AC26" s="7" t="n">
        <x:f>COUNTIF(evidence!$B$2:$B$10000,A26)</x:f>
        <x:v>0</x:v>
      </x:c>
      <x:c r="AD26" s="7" t="s">
        <x:v>428</x:v>
      </x:c>
      <x:c r="AE26" s="7" t="s">
        <x:v>429</x:v>
      </x:c>
      <x:c r="AF26" s="7" t="s">
        <x:v>411</x:v>
      </x:c>
      <x:c r="AG26" s="15"/>
    </x:row>
    <x:row r="27" ht="59.95000076293945" customHeight="1">
      <x:c r="A27" s="14" t="s">
        <x:v>430</x:v>
      </x:c>
      <x:c r="B27" s="10" t="s">
        <x:v>431</x:v>
      </x:c>
      <x:c r="C27" s="10" t="s">
        <x:v>137</x:v>
      </x:c>
      <x:c r="D27" s="10" t="s">
        <x:v>432</x:v>
      </x:c>
      <x:c r="E27" s="10" t="s">
        <x:v>433</x:v>
      </x:c>
      <x:c r="F27" s="10" t="s">
        <x:v>434</x:v>
      </x:c>
      <x:c r="G27" s="10">
        <x:v>447595</x:v>
      </x:c>
      <x:c r="H27" s="10"/>
      <x:c r="I27" s="10"/>
      <x:c r="J27" s="10" t="s">
        <x:v>435</x:v>
      </x:c>
      <x:c r="K27" s="10">
        <x:v>291</x:v>
      </x:c>
      <x:c r="L27" s="10" t="s">
        <x:v>243</x:v>
      </x:c>
      <x:c r="M27" s="10" t="s">
        <x:v>123</x:v>
      </x:c>
      <x:c r="N27" s="10" t="s">
        <x:v>124</x:v>
      </x:c>
      <x:c r="O27" s="10"/>
      <x:c r="P27" s="10"/>
      <x:c r="Q27" s="10" t="s">
        <x:v>407</x:v>
      </x:c>
      <x:c r="R27" s="10" t="s">
        <x:v>258</x:v>
      </x:c>
      <x:c r="S27" s="11" t="b">
        <x:v>0</x:v>
      </x:c>
      <x:c r="T27" s="10"/>
      <x:c r="U27" s="10"/>
      <x:c r="V27" s="10"/>
      <x:c r="W27" s="10" t="s">
        <x:v>436</x:v>
      </x:c>
      <x:c r="X27" s="10"/>
      <x:c r="Y27" s="10"/>
      <x:c r="Z27" s="10" t="str">
        <x:f t="shared" si="0"/>
      </x:c>
      <x:c r="AA27" s="10" t="n">
        <x:f>COUNTIF(assemblies!$B$2:$B$2029,A27)</x:f>
        <x:v>0</x:v>
      </x:c>
      <x:c r="AB27" s="10" t="n">
        <x:f>COUNTIF(pores!$B$2:$B$5028,A27)</x:f>
        <x:v>0</x:v>
      </x:c>
      <x:c r="AC27" s="10" t="n">
        <x:f>COUNTIF(evidence!$B$2:$B$10000,A27)</x:f>
        <x:v>0</x:v>
      </x:c>
      <x:c r="AD27" s="10" t="s">
        <x:v>437</x:v>
      </x:c>
      <x:c r="AE27" s="10" t="s">
        <x:v>438</x:v>
      </x:c>
      <x:c r="AF27" s="10" t="s">
        <x:v>411</x:v>
      </x:c>
      <x:c r="AG27" s="16" t="s">
        <x:v>439</x:v>
      </x:c>
    </x:row>
    <x:row r="28" ht="59.95000076293945" customHeight="1">
      <x:c r="A28" s="13" t="s">
        <x:v>440</x:v>
      </x:c>
      <x:c r="B28" s="7" t="s">
        <x:v>441</x:v>
      </x:c>
      <x:c r="C28" s="7" t="s">
        <x:v>137</x:v>
      </x:c>
      <x:c r="D28" s="7" t="s">
        <x:v>442</x:v>
      </x:c>
      <x:c r="E28" s="7" t="s">
        <x:v>443</x:v>
      </x:c>
      <x:c r="F28" s="7" t="s">
        <x:v>444</x:v>
      </x:c>
      <x:c r="G28" s="7">
        <x:v>1714264</x:v>
      </x:c>
      <x:c r="H28" s="7"/>
      <x:c r="I28" s="7"/>
      <x:c r="J28" s="7" t="s">
        <x:v>445</x:v>
      </x:c>
      <x:c r="K28" s="7">
        <x:v>284</x:v>
      </x:c>
      <x:c r="L28" s="7" t="s">
        <x:v>243</x:v>
      </x:c>
      <x:c r="M28" s="7" t="s">
        <x:v>123</x:v>
      </x:c>
      <x:c r="N28" s="7" t="s">
        <x:v>124</x:v>
      </x:c>
      <x:c r="O28" s="7"/>
      <x:c r="P28" s="7"/>
      <x:c r="Q28" s="7" t="s">
        <x:v>407</x:v>
      </x:c>
      <x:c r="R28" s="7" t="s">
        <x:v>258</x:v>
      </x:c>
      <x:c r="S28" s="8" t="b">
        <x:v>0</x:v>
      </x:c>
      <x:c r="T28" s="7"/>
      <x:c r="U28" s="7"/>
      <x:c r="V28" s="7"/>
      <x:c r="W28" s="7" t="s">
        <x:v>446</x:v>
      </x:c>
      <x:c r="X28" s="7"/>
      <x:c r="Y28" s="7"/>
      <x:c r="Z28" s="7" t="str">
        <x:f t="shared" si="0"/>
      </x:c>
      <x:c r="AA28" s="7" t="n">
        <x:f>COUNTIF(assemblies!$B$2:$B$2029,A28)</x:f>
        <x:v>0</x:v>
      </x:c>
      <x:c r="AB28" s="7" t="n">
        <x:f>COUNTIF(pores!$B$2:$B$5028,A28)</x:f>
        <x:v>0</x:v>
      </x:c>
      <x:c r="AC28" s="7" t="n">
        <x:f>COUNTIF(evidence!$B$2:$B$10000,A28)</x:f>
        <x:v>0</x:v>
      </x:c>
      <x:c r="AD28" s="7" t="s">
        <x:v>447</x:v>
      </x:c>
      <x:c r="AE28" s="7" t="s">
        <x:v>448</x:v>
      </x:c>
      <x:c r="AF28" s="7" t="s">
        <x:v>411</x:v>
      </x:c>
      <x:c r="AG28" s="15"/>
    </x:row>
    <x:row r="29" ht="46.599998474121094" customHeight="1">
      <x:c r="A29" s="14" t="s">
        <x:v>449</x:v>
      </x:c>
      <x:c r="B29" s="10" t="s">
        <x:v>450</x:v>
      </x:c>
      <x:c r="C29" s="10" t="s">
        <x:v>137</x:v>
      </x:c>
      <x:c r="D29" s="10" t="s">
        <x:v>451</x:v>
      </x:c>
      <x:c r="E29" s="10" t="s">
        <x:v>452</x:v>
      </x:c>
      <x:c r="F29" s="10" t="s">
        <x:v>453</x:v>
      </x:c>
      <x:c r="G29" s="10">
        <x:v>2058924</x:v>
      </x:c>
      <x:c r="H29" s="10"/>
      <x:c r="I29" s="10"/>
      <x:c r="J29" s="10" t="s">
        <x:v>454</x:v>
      </x:c>
      <x:c r="K29" s="10">
        <x:v>292</x:v>
      </x:c>
      <x:c r="L29" s="10" t="s">
        <x:v>243</x:v>
      </x:c>
      <x:c r="M29" s="10" t="s">
        <x:v>123</x:v>
      </x:c>
      <x:c r="N29" s="10" t="s">
        <x:v>124</x:v>
      </x:c>
      <x:c r="O29" s="10"/>
      <x:c r="P29" s="10"/>
      <x:c r="Q29" s="10" t="s">
        <x:v>407</x:v>
      </x:c>
      <x:c r="R29" s="10" t="s">
        <x:v>258</x:v>
      </x:c>
      <x:c r="S29" s="11" t="b">
        <x:v>0</x:v>
      </x:c>
      <x:c r="T29" s="10"/>
      <x:c r="U29" s="10"/>
      <x:c r="V29" s="10"/>
      <x:c r="W29" s="10" t="s">
        <x:v>455</x:v>
      </x:c>
      <x:c r="X29" s="10"/>
      <x:c r="Y29" s="10"/>
      <x:c r="Z29" s="10" t="str">
        <x:f t="shared" si="0"/>
      </x:c>
      <x:c r="AA29" s="10" t="n">
        <x:f>COUNTIF(assemblies!$B$2:$B$2029,A29)</x:f>
        <x:v>0</x:v>
      </x:c>
      <x:c r="AB29" s="10" t="n">
        <x:f>COUNTIF(pores!$B$2:$B$5028,A29)</x:f>
        <x:v>0</x:v>
      </x:c>
      <x:c r="AC29" s="10" t="n">
        <x:f>COUNTIF(evidence!$B$2:$B$10000,A29)</x:f>
        <x:v>0</x:v>
      </x:c>
      <x:c r="AD29" s="10" t="s">
        <x:v>456</x:v>
      </x:c>
      <x:c r="AE29" s="10" t="s">
        <x:v>457</x:v>
      </x:c>
      <x:c r="AF29" s="10" t="s">
        <x:v>411</x:v>
      </x:c>
      <x:c r="AG29" s="16"/>
    </x:row>
    <x:row r="30" ht="59.95000076293945" customHeight="1">
      <x:c r="A30" s="13" t="s">
        <x:v>458</x:v>
      </x:c>
      <x:c r="B30" s="7" t="s">
        <x:v>459</x:v>
      </x:c>
      <x:c r="C30" s="7" t="s">
        <x:v>137</x:v>
      </x:c>
      <x:c r="D30" s="7" t="s">
        <x:v>460</x:v>
      </x:c>
      <x:c r="E30" s="7"/>
      <x:c r="F30" s="7" t="s">
        <x:v>461</x:v>
      </x:c>
      <x:c r="G30" s="7">
        <x:v>453960</x:v>
      </x:c>
      <x:c r="H30" s="7" t="s">
        <x:v>462</x:v>
      </x:c>
      <x:c r="I30" s="7"/>
      <x:c r="J30" s="7"/>
      <x:c r="K30" s="7">
        <x:v>283</x:v>
      </x:c>
      <x:c r="L30" s="7" t="s">
        <x:v>243</x:v>
      </x:c>
      <x:c r="M30" s="7" t="s">
        <x:v>123</x:v>
      </x:c>
      <x:c r="N30" s="7" t="s">
        <x:v>463</x:v>
      </x:c>
      <x:c r="O30" s="7" t="s">
        <x:v>464</x:v>
      </x:c>
      <x:c r="P30" s="7"/>
      <x:c r="Q30" s="7" t="s">
        <x:v>407</x:v>
      </x:c>
      <x:c r="R30" s="7" t="s">
        <x:v>258</x:v>
      </x:c>
      <x:c r="S30" s="8" t="b">
        <x:v>1</x:v>
      </x:c>
      <x:c r="T30" s="7" t="s">
        <x:v>465</x:v>
      </x:c>
      <x:c r="U30" s="7"/>
      <x:c r="V30" s="7"/>
      <x:c r="W30" s="7" t="s">
        <x:v>466</x:v>
      </x:c>
      <x:c r="X30" s="7"/>
      <x:c r="Y30" s="7"/>
      <x:c r="Z30" s="7" t="str">
        <x:f t="shared" si="0"/>
      </x:c>
      <x:c r="AA30" s="7" t="n">
        <x:f>COUNTIF(assemblies!$B$2:$B$2029,A30)</x:f>
        <x:v>0</x:v>
      </x:c>
      <x:c r="AB30" s="7" t="n">
        <x:f>COUNTIF(pores!$B$2:$B$5028,A30)</x:f>
        <x:v>0</x:v>
      </x:c>
      <x:c r="AC30" s="7" t="n">
        <x:f>COUNTIF(evidence!$B$2:$B$10000,A30)</x:f>
        <x:v>0</x:v>
      </x:c>
      <x:c r="AD30" s="7" t="s">
        <x:v>467</x:v>
      </x:c>
      <x:c r="AE30" s="7" t="s">
        <x:v>468</x:v>
      </x:c>
      <x:c r="AF30" s="7" t="s">
        <x:v>411</x:v>
      </x:c>
      <x:c r="AG30" s="15"/>
    </x:row>
    <x:row r="31" ht="46.599998474121094" customHeight="1">
      <x:c r="A31" s="14" t="s">
        <x:v>469</x:v>
      </x:c>
      <x:c r="B31" s="10" t="s">
        <x:v>470</x:v>
      </x:c>
      <x:c r="C31" s="10" t="s">
        <x:v>137</x:v>
      </x:c>
      <x:c r="D31" s="10" t="s">
        <x:v>471</x:v>
      </x:c>
      <x:c r="E31" s="10" t="s">
        <x:v>472</x:v>
      </x:c>
      <x:c r="F31" s="10" t="s">
        <x:v>473</x:v>
      </x:c>
      <x:c r="G31" s="10">
        <x:v>598644</x:v>
      </x:c>
      <x:c r="H31" s="10"/>
      <x:c r="I31" s="10"/>
      <x:c r="J31" s="10" t="s">
        <x:v>474</x:v>
      </x:c>
      <x:c r="K31" s="10">
        <x:v>292</x:v>
      </x:c>
      <x:c r="L31" s="10" t="s">
        <x:v>243</x:v>
      </x:c>
      <x:c r="M31" s="10" t="s">
        <x:v>123</x:v>
      </x:c>
      <x:c r="N31" s="10" t="s">
        <x:v>124</x:v>
      </x:c>
      <x:c r="O31" s="10"/>
      <x:c r="P31" s="10"/>
      <x:c r="Q31" s="10" t="s">
        <x:v>407</x:v>
      </x:c>
      <x:c r="R31" s="10" t="s">
        <x:v>258</x:v>
      </x:c>
      <x:c r="S31" s="11" t="b">
        <x:v>0</x:v>
      </x:c>
      <x:c r="T31" s="10"/>
      <x:c r="U31" s="10"/>
      <x:c r="V31" s="10"/>
      <x:c r="W31" s="10" t="s">
        <x:v>475</x:v>
      </x:c>
      <x:c r="X31" s="10"/>
      <x:c r="Y31" s="10"/>
      <x:c r="Z31" s="10" t="str">
        <x:f t="shared" si="0"/>
      </x:c>
      <x:c r="AA31" s="10" t="n">
        <x:f>COUNTIF(assemblies!$B$2:$B$2029,A31)</x:f>
        <x:v>0</x:v>
      </x:c>
      <x:c r="AB31" s="10" t="n">
        <x:f>COUNTIF(pores!$B$2:$B$5028,A31)</x:f>
        <x:v>0</x:v>
      </x:c>
      <x:c r="AC31" s="10" t="n">
        <x:f>COUNTIF(evidence!$B$2:$B$10000,A31)</x:f>
        <x:v>0</x:v>
      </x:c>
      <x:c r="AD31" s="10" t="s">
        <x:v>476</x:v>
      </x:c>
      <x:c r="AE31" s="10" t="s">
        <x:v>477</x:v>
      </x:c>
      <x:c r="AF31" s="10" t="s">
        <x:v>411</x:v>
      </x:c>
      <x:c r="AG31" s="16"/>
    </x:row>
    <x:row r="32" ht="46.599998474121094" customHeight="1">
      <x:c r="A32" s="13" t="s">
        <x:v>478</x:v>
      </x:c>
      <x:c r="B32" s="7" t="s">
        <x:v>479</x:v>
      </x:c>
      <x:c r="C32" s="7" t="s">
        <x:v>137</x:v>
      </x:c>
      <x:c r="D32" s="7" t="s">
        <x:v>480</x:v>
      </x:c>
      <x:c r="E32" s="7" t="s">
        <x:v>481</x:v>
      </x:c>
      <x:c r="F32" s="7" t="s">
        <x:v>482</x:v>
      </x:c>
      <x:c r="G32" s="7">
        <x:v>267746</x:v>
      </x:c>
      <x:c r="H32" s="7"/>
      <x:c r="I32" s="7"/>
      <x:c r="J32" s="7" t="s">
        <x:v>483</x:v>
      </x:c>
      <x:c r="K32" s="7">
        <x:v>284</x:v>
      </x:c>
      <x:c r="L32" s="7" t="s">
        <x:v>243</x:v>
      </x:c>
      <x:c r="M32" s="7" t="s">
        <x:v>123</x:v>
      </x:c>
      <x:c r="N32" s="7" t="s">
        <x:v>124</x:v>
      </x:c>
      <x:c r="O32" s="7"/>
      <x:c r="P32" s="7"/>
      <x:c r="Q32" s="7" t="s">
        <x:v>407</x:v>
      </x:c>
      <x:c r="R32" s="7" t="s">
        <x:v>258</x:v>
      </x:c>
      <x:c r="S32" s="8" t="b">
        <x:v>0</x:v>
      </x:c>
      <x:c r="T32" s="7"/>
      <x:c r="U32" s="7"/>
      <x:c r="V32" s="7"/>
      <x:c r="W32" s="7" t="s">
        <x:v>484</x:v>
      </x:c>
      <x:c r="X32" s="7"/>
      <x:c r="Y32" s="7"/>
      <x:c r="Z32" s="7" t="str">
        <x:f t="shared" si="0"/>
      </x:c>
      <x:c r="AA32" s="7" t="n">
        <x:f>COUNTIF(assemblies!$B$2:$B$2029,A32)</x:f>
        <x:v>0</x:v>
      </x:c>
      <x:c r="AB32" s="7" t="n">
        <x:f>COUNTIF(pores!$B$2:$B$5028,A32)</x:f>
        <x:v>0</x:v>
      </x:c>
      <x:c r="AC32" s="7" t="n">
        <x:f>COUNTIF(evidence!$B$2:$B$10000,A32)</x:f>
        <x:v>0</x:v>
      </x:c>
      <x:c r="AD32" s="7" t="s">
        <x:v>485</x:v>
      </x:c>
      <x:c r="AE32" s="7" t="s">
        <x:v>486</x:v>
      </x:c>
      <x:c r="AF32" s="7" t="s">
        <x:v>411</x:v>
      </x:c>
      <x:c r="AG32" s="15"/>
    </x:row>
    <x:row r="33" ht="59.95000076293945" customHeight="1">
      <x:c r="A33" s="14" t="s">
        <x:v>487</x:v>
      </x:c>
      <x:c r="B33" s="10" t="s">
        <x:v>488</x:v>
      </x:c>
      <x:c r="C33" s="10" t="s">
        <x:v>137</x:v>
      </x:c>
      <x:c r="D33" s="10" t="s">
        <x:v>489</x:v>
      </x:c>
      <x:c r="E33" s="10" t="s">
        <x:v>490</x:v>
      </x:c>
      <x:c r="F33" s="10" t="s">
        <x:v>491</x:v>
      </x:c>
      <x:c r="G33" s="10">
        <x:v>1682741</x:v>
      </x:c>
      <x:c r="H33" s="10"/>
      <x:c r="I33" s="10"/>
      <x:c r="J33" s="10" t="s">
        <x:v>492</x:v>
      </x:c>
      <x:c r="K33" s="10">
        <x:v>293</x:v>
      </x:c>
      <x:c r="L33" s="10" t="s">
        <x:v>243</x:v>
      </x:c>
      <x:c r="M33" s="10" t="s">
        <x:v>123</x:v>
      </x:c>
      <x:c r="N33" s="10" t="s">
        <x:v>124</x:v>
      </x:c>
      <x:c r="O33" s="10"/>
      <x:c r="P33" s="10"/>
      <x:c r="Q33" s="10" t="s">
        <x:v>407</x:v>
      </x:c>
      <x:c r="R33" s="10" t="s">
        <x:v>258</x:v>
      </x:c>
      <x:c r="S33" s="11" t="b">
        <x:v>0</x:v>
      </x:c>
      <x:c r="T33" s="10"/>
      <x:c r="U33" s="10"/>
      <x:c r="V33" s="10"/>
      <x:c r="W33" s="10" t="s">
        <x:v>493</x:v>
      </x:c>
      <x:c r="X33" s="10"/>
      <x:c r="Y33" s="10"/>
      <x:c r="Z33" s="10" t="str">
        <x:f t="shared" si="0"/>
      </x:c>
      <x:c r="AA33" s="10" t="n">
        <x:f>COUNTIF(assemblies!$B$2:$B$2029,A33)</x:f>
        <x:v>0</x:v>
      </x:c>
      <x:c r="AB33" s="10" t="n">
        <x:f>COUNTIF(pores!$B$2:$B$5028,A33)</x:f>
        <x:v>0</x:v>
      </x:c>
      <x:c r="AC33" s="10" t="n">
        <x:f>COUNTIF(evidence!$B$2:$B$10000,A33)</x:f>
        <x:v>0</x:v>
      </x:c>
      <x:c r="AD33" s="10" t="s">
        <x:v>494</x:v>
      </x:c>
      <x:c r="AE33" s="10" t="s">
        <x:v>495</x:v>
      </x:c>
      <x:c r="AF33" s="10" t="s">
        <x:v>411</x:v>
      </x:c>
      <x:c r="AG33" s="16"/>
    </x:row>
    <x:row r="34" ht="59.95000076293945" customHeight="1">
      <x:c r="A34" s="13" t="s">
        <x:v>496</x:v>
      </x:c>
      <x:c r="B34" s="7" t="s">
        <x:v>497</x:v>
      </x:c>
      <x:c r="C34" s="7" t="s">
        <x:v>137</x:v>
      </x:c>
      <x:c r="D34" s="7" t="s">
        <x:v>498</x:v>
      </x:c>
      <x:c r="E34" s="7" t="s">
        <x:v>499</x:v>
      </x:c>
      <x:c r="F34" s="7" t="s">
        <x:v>500</x:v>
      </x:c>
      <x:c r="G34" s="7">
        <x:v>575178</x:v>
      </x:c>
      <x:c r="H34" s="7"/>
      <x:c r="I34" s="7"/>
      <x:c r="J34" s="7" t="s">
        <x:v>501</x:v>
      </x:c>
      <x:c r="K34" s="7">
        <x:v>283</x:v>
      </x:c>
      <x:c r="L34" s="7" t="s">
        <x:v>243</x:v>
      </x:c>
      <x:c r="M34" s="7" t="s">
        <x:v>123</x:v>
      </x:c>
      <x:c r="N34" s="7" t="s">
        <x:v>124</x:v>
      </x:c>
      <x:c r="O34" s="7"/>
      <x:c r="P34" s="7"/>
      <x:c r="Q34" s="7" t="s">
        <x:v>407</x:v>
      </x:c>
      <x:c r="R34" s="7" t="s">
        <x:v>258</x:v>
      </x:c>
      <x:c r="S34" s="8" t="b">
        <x:v>0</x:v>
      </x:c>
      <x:c r="T34" s="7"/>
      <x:c r="U34" s="7"/>
      <x:c r="V34" s="7"/>
      <x:c r="W34" s="7" t="s">
        <x:v>502</x:v>
      </x:c>
      <x:c r="X34" s="7"/>
      <x:c r="Y34" s="7"/>
      <x:c r="Z34" s="7" t="str">
        <x:f t="shared" ref="Z34:Z65" si="1">IF(X34="","",LEN(X34)-LEN(SUBSTITUTE(X34,";",""))+1)</x:f>
      </x:c>
      <x:c r="AA34" s="7" t="n">
        <x:f>COUNTIF(assemblies!$B$2:$B$2029,A34)</x:f>
        <x:v>0</x:v>
      </x:c>
      <x:c r="AB34" s="7" t="n">
        <x:f>COUNTIF(pores!$B$2:$B$5028,A34)</x:f>
        <x:v>0</x:v>
      </x:c>
      <x:c r="AC34" s="7" t="n">
        <x:f>COUNTIF(evidence!$B$2:$B$10000,A34)</x:f>
        <x:v>0</x:v>
      </x:c>
      <x:c r="AD34" s="7" t="s">
        <x:v>503</x:v>
      </x:c>
      <x:c r="AE34" s="7" t="s">
        <x:v>504</x:v>
      </x:c>
      <x:c r="AF34" s="7" t="s">
        <x:v>411</x:v>
      </x:c>
      <x:c r="AG34" s="15"/>
    </x:row>
    <x:row r="35" ht="46.599998474121094" customHeight="1">
      <x:c r="A35" s="14" t="s">
        <x:v>505</x:v>
      </x:c>
      <x:c r="B35" s="10" t="s">
        <x:v>506</x:v>
      </x:c>
      <x:c r="C35" s="10" t="s">
        <x:v>137</x:v>
      </x:c>
      <x:c r="D35" s="10" t="s">
        <x:v>507</x:v>
      </x:c>
      <x:c r="E35" s="10" t="s">
        <x:v>508</x:v>
      </x:c>
      <x:c r="F35" s="10" t="s">
        <x:v>509</x:v>
      </x:c>
      <x:c r="G35" s="10">
        <x:v>2741433</x:v>
      </x:c>
      <x:c r="H35" s="10"/>
      <x:c r="I35" s="10"/>
      <x:c r="J35" s="10" t="s">
        <x:v>510</x:v>
      </x:c>
      <x:c r="K35" s="10">
        <x:v>283</x:v>
      </x:c>
      <x:c r="L35" s="10" t="s">
        <x:v>243</x:v>
      </x:c>
      <x:c r="M35" s="10" t="s">
        <x:v>123</x:v>
      </x:c>
      <x:c r="N35" s="10" t="s">
        <x:v>124</x:v>
      </x:c>
      <x:c r="O35" s="10"/>
      <x:c r="P35" s="10"/>
      <x:c r="Q35" s="10" t="s">
        <x:v>407</x:v>
      </x:c>
      <x:c r="R35" s="10" t="s">
        <x:v>258</x:v>
      </x:c>
      <x:c r="S35" s="11" t="b">
        <x:v>0</x:v>
      </x:c>
      <x:c r="T35" s="10"/>
      <x:c r="U35" s="10"/>
      <x:c r="V35" s="10"/>
      <x:c r="W35" s="10" t="s">
        <x:v>511</x:v>
      </x:c>
      <x:c r="X35" s="10"/>
      <x:c r="Y35" s="10"/>
      <x:c r="Z35" s="10" t="str">
        <x:f t="shared" si="1"/>
      </x:c>
      <x:c r="AA35" s="10" t="n">
        <x:f>COUNTIF(assemblies!$B$2:$B$2029,A35)</x:f>
        <x:v>0</x:v>
      </x:c>
      <x:c r="AB35" s="10" t="n">
        <x:f>COUNTIF(pores!$B$2:$B$5028,A35)</x:f>
        <x:v>0</x:v>
      </x:c>
      <x:c r="AC35" s="10" t="n">
        <x:f>COUNTIF(evidence!$B$2:$B$10000,A35)</x:f>
        <x:v>0</x:v>
      </x:c>
      <x:c r="AD35" s="10" t="s">
        <x:v>512</x:v>
      </x:c>
      <x:c r="AE35" s="10" t="s">
        <x:v>513</x:v>
      </x:c>
      <x:c r="AF35" s="10" t="s">
        <x:v>411</x:v>
      </x:c>
      <x:c r="AG35" s="16"/>
    </x:row>
    <x:row r="36" ht="59.95000076293945" customHeight="1">
      <x:c r="A36" s="13" t="s">
        <x:v>514</x:v>
      </x:c>
      <x:c r="B36" s="7" t="s">
        <x:v>515</x:v>
      </x:c>
      <x:c r="C36" s="7" t="s">
        <x:v>137</x:v>
      </x:c>
      <x:c r="D36" s="7" t="s">
        <x:v>516</x:v>
      </x:c>
      <x:c r="E36" s="7"/>
      <x:c r="F36" s="7" t="s">
        <x:v>517</x:v>
      </x:c>
      <x:c r="G36" s="7">
        <x:v>2961651</x:v>
      </x:c>
      <x:c r="H36" s="7" t="s">
        <x:v>518</x:v>
      </x:c>
      <x:c r="I36" s="7"/>
      <x:c r="J36" s="7"/>
      <x:c r="K36" s="7">
        <x:v>300</x:v>
      </x:c>
      <x:c r="L36" s="7" t="s">
        <x:v>243</x:v>
      </x:c>
      <x:c r="M36" s="7" t="s">
        <x:v>123</x:v>
      </x:c>
      <x:c r="N36" s="7" t="s">
        <x:v>463</x:v>
      </x:c>
      <x:c r="O36" s="7" t="s">
        <x:v>519</x:v>
      </x:c>
      <x:c r="P36" s="7"/>
      <x:c r="Q36" s="7" t="s">
        <x:v>407</x:v>
      </x:c>
      <x:c r="R36" s="7" t="s">
        <x:v>258</x:v>
      </x:c>
      <x:c r="S36" s="8" t="b">
        <x:v>1</x:v>
      </x:c>
      <x:c r="T36" s="7" t="s">
        <x:v>520</x:v>
      </x:c>
      <x:c r="U36" s="7"/>
      <x:c r="V36" s="7"/>
      <x:c r="W36" s="7" t="s">
        <x:v>521</x:v>
      </x:c>
      <x:c r="X36" s="7"/>
      <x:c r="Y36" s="7"/>
      <x:c r="Z36" s="7" t="str">
        <x:f t="shared" si="1"/>
      </x:c>
      <x:c r="AA36" s="7" t="n">
        <x:f>COUNTIF(assemblies!$B$2:$B$2029,A36)</x:f>
        <x:v>0</x:v>
      </x:c>
      <x:c r="AB36" s="7" t="n">
        <x:f>COUNTIF(pores!$B$2:$B$5028,A36)</x:f>
        <x:v>0</x:v>
      </x:c>
      <x:c r="AC36" s="7" t="n">
        <x:f>COUNTIF(evidence!$B$2:$B$10000,A36)</x:f>
        <x:v>0</x:v>
      </x:c>
      <x:c r="AD36" s="7" t="s">
        <x:v>522</x:v>
      </x:c>
      <x:c r="AE36" s="7" t="s">
        <x:v>523</x:v>
      </x:c>
      <x:c r="AF36" s="7" t="s">
        <x:v>411</x:v>
      </x:c>
      <x:c r="AG36" s="15"/>
    </x:row>
    <x:row r="37" ht="59.95000076293945" customHeight="1">
      <x:c r="A37" s="14" t="s">
        <x:v>524</x:v>
      </x:c>
      <x:c r="B37" s="10" t="s">
        <x:v>525</x:v>
      </x:c>
      <x:c r="C37" s="10" t="s">
        <x:v>137</x:v>
      </x:c>
      <x:c r="D37" s="10" t="s">
        <x:v>526</x:v>
      </x:c>
      <x:c r="E37" s="10" t="s">
        <x:v>527</x:v>
      </x:c>
      <x:c r="F37" s="10" t="s">
        <x:v>528</x:v>
      </x:c>
      <x:c r="G37" s="10">
        <x:v>904376</x:v>
      </x:c>
      <x:c r="H37" s="10" t="s">
        <x:v>529</x:v>
      </x:c>
      <x:c r="I37" s="10"/>
      <x:c r="J37" s="10"/>
      <x:c r="K37" s="10">
        <x:v>312</x:v>
      </x:c>
      <x:c r="L37" s="10" t="s">
        <x:v>243</x:v>
      </x:c>
      <x:c r="M37" s="10" t="s">
        <x:v>123</x:v>
      </x:c>
      <x:c r="N37" s="10" t="s">
        <x:v>463</x:v>
      </x:c>
      <x:c r="O37" s="10" t="s">
        <x:v>530</x:v>
      </x:c>
      <x:c r="P37" s="10"/>
      <x:c r="Q37" s="10" t="s">
        <x:v>407</x:v>
      </x:c>
      <x:c r="R37" s="10" t="s">
        <x:v>258</x:v>
      </x:c>
      <x:c r="S37" s="11" t="b">
        <x:v>1</x:v>
      </x:c>
      <x:c r="T37" s="10" t="s">
        <x:v>531</x:v>
      </x:c>
      <x:c r="U37" s="10"/>
      <x:c r="V37" s="10"/>
      <x:c r="W37" s="10" t="s">
        <x:v>532</x:v>
      </x:c>
      <x:c r="X37" s="10"/>
      <x:c r="Y37" s="10"/>
      <x:c r="Z37" s="10" t="str">
        <x:f t="shared" si="1"/>
      </x:c>
      <x:c r="AA37" s="10" t="n">
        <x:f>COUNTIF(assemblies!$B$2:$B$2029,A37)</x:f>
        <x:v>0</x:v>
      </x:c>
      <x:c r="AB37" s="10" t="n">
        <x:f>COUNTIF(pores!$B$2:$B$5028,A37)</x:f>
        <x:v>0</x:v>
      </x:c>
      <x:c r="AC37" s="10" t="n">
        <x:f>COUNTIF(evidence!$B$2:$B$10000,A37)</x:f>
        <x:v>0</x:v>
      </x:c>
      <x:c r="AD37" s="10" t="s">
        <x:v>533</x:v>
      </x:c>
      <x:c r="AE37" s="10" t="s">
        <x:v>534</x:v>
      </x:c>
      <x:c r="AF37" s="10" t="s">
        <x:v>411</x:v>
      </x:c>
      <x:c r="AG37" s="16"/>
    </x:row>
    <x:row r="38" ht="46.599998474121094" customHeight="1">
      <x:c r="A38" s="13" t="s">
        <x:v>535</x:v>
      </x:c>
      <x:c r="B38" s="7" t="s">
        <x:v>536</x:v>
      </x:c>
      <x:c r="C38" s="7" t="s">
        <x:v>537</x:v>
      </x:c>
      <x:c r="D38" s="7" t="s">
        <x:v>538</x:v>
      </x:c>
      <x:c r="E38" s="7" t="s">
        <x:v>539</x:v>
      </x:c>
      <x:c r="F38" s="7" t="s">
        <x:v>540</x:v>
      </x:c>
      <x:c r="G38" s="7">
        <x:v>2997337</x:v>
      </x:c>
      <x:c r="H38" s="7"/>
      <x:c r="I38" s="7"/>
      <x:c r="J38" s="7" t="s">
        <x:v>541</x:v>
      </x:c>
      <x:c r="K38" s="7">
        <x:v>295</x:v>
      </x:c>
      <x:c r="L38" s="7" t="s">
        <x:v>243</x:v>
      </x:c>
      <x:c r="M38" s="7" t="s">
        <x:v>123</x:v>
      </x:c>
      <x:c r="N38" s="7" t="s">
        <x:v>124</x:v>
      </x:c>
      <x:c r="O38" s="7"/>
      <x:c r="P38" s="7"/>
      <x:c r="Q38" s="7" t="s">
        <x:v>407</x:v>
      </x:c>
      <x:c r="R38" s="7" t="s">
        <x:v>258</x:v>
      </x:c>
      <x:c r="S38" s="8" t="b">
        <x:v>0</x:v>
      </x:c>
      <x:c r="T38" s="7"/>
      <x:c r="U38" s="7"/>
      <x:c r="V38" s="7"/>
      <x:c r="W38" s="7" t="s">
        <x:v>542</x:v>
      </x:c>
      <x:c r="X38" s="7"/>
      <x:c r="Y38" s="7"/>
      <x:c r="Z38" s="7" t="str">
        <x:f t="shared" si="1"/>
      </x:c>
      <x:c r="AA38" s="7" t="n">
        <x:f>COUNTIF(assemblies!$B$2:$B$2029,A38)</x:f>
        <x:v>0</x:v>
      </x:c>
      <x:c r="AB38" s="7" t="n">
        <x:f>COUNTIF(pores!$B$2:$B$5028,A38)</x:f>
        <x:v>0</x:v>
      </x:c>
      <x:c r="AC38" s="7" t="n">
        <x:f>COUNTIF(evidence!$B$2:$B$10000,A38)</x:f>
        <x:v>0</x:v>
      </x:c>
      <x:c r="AD38" s="7" t="s">
        <x:v>543</x:v>
      </x:c>
      <x:c r="AE38" s="7" t="s">
        <x:v>544</x:v>
      </x:c>
      <x:c r="AF38" s="7" t="s">
        <x:v>411</x:v>
      </x:c>
      <x:c r="AG38" s="15"/>
    </x:row>
    <x:row r="39" ht="59.95000076293945" customHeight="1">
      <x:c r="A39" s="14" t="s">
        <x:v>545</x:v>
      </x:c>
      <x:c r="B39" s="10" t="s">
        <x:v>546</x:v>
      </x:c>
      <x:c r="C39" s="10" t="s">
        <x:v>137</x:v>
      </x:c>
      <x:c r="D39" s="10" t="s">
        <x:v>547</x:v>
      </x:c>
      <x:c r="E39" s="10" t="s">
        <x:v>548</x:v>
      </x:c>
      <x:c r="F39" s="10" t="s">
        <x:v>549</x:v>
      </x:c>
      <x:c r="G39" s="10">
        <x:v>1111068</x:v>
      </x:c>
      <x:c r="H39" s="10"/>
      <x:c r="I39" s="10"/>
      <x:c r="J39" s="10" t="s">
        <x:v>550</x:v>
      </x:c>
      <x:c r="K39" s="10">
        <x:v>284</x:v>
      </x:c>
      <x:c r="L39" s="10" t="s">
        <x:v>243</x:v>
      </x:c>
      <x:c r="M39" s="10" t="s">
        <x:v>123</x:v>
      </x:c>
      <x:c r="N39" s="10" t="s">
        <x:v>124</x:v>
      </x:c>
      <x:c r="O39" s="10"/>
      <x:c r="P39" s="10"/>
      <x:c r="Q39" s="10" t="s">
        <x:v>407</x:v>
      </x:c>
      <x:c r="R39" s="10" t="s">
        <x:v>258</x:v>
      </x:c>
      <x:c r="S39" s="11" t="b">
        <x:v>0</x:v>
      </x:c>
      <x:c r="T39" s="10"/>
      <x:c r="U39" s="10"/>
      <x:c r="V39" s="10"/>
      <x:c r="W39" s="10" t="s">
        <x:v>551</x:v>
      </x:c>
      <x:c r="X39" s="10"/>
      <x:c r="Y39" s="10"/>
      <x:c r="Z39" s="10" t="str">
        <x:f t="shared" si="1"/>
      </x:c>
      <x:c r="AA39" s="10" t="n">
        <x:f>COUNTIF(assemblies!$B$2:$B$2029,A39)</x:f>
        <x:v>0</x:v>
      </x:c>
      <x:c r="AB39" s="10" t="n">
        <x:f>COUNTIF(pores!$B$2:$B$5028,A39)</x:f>
        <x:v>0</x:v>
      </x:c>
      <x:c r="AC39" s="10" t="n">
        <x:f>COUNTIF(evidence!$B$2:$B$10000,A39)</x:f>
        <x:v>0</x:v>
      </x:c>
      <x:c r="AD39" s="10" t="s">
        <x:v>552</x:v>
      </x:c>
      <x:c r="AE39" s="10" t="s">
        <x:v>553</x:v>
      </x:c>
      <x:c r="AF39" s="10" t="s">
        <x:v>411</x:v>
      </x:c>
      <x:c r="AG39" s="16"/>
    </x:row>
    <x:row r="40" ht="46.599998474121094" customHeight="1">
      <x:c r="A40" s="13" t="s">
        <x:v>554</x:v>
      </x:c>
      <x:c r="B40" s="7" t="s">
        <x:v>555</x:v>
      </x:c>
      <x:c r="C40" s="7" t="s">
        <x:v>137</x:v>
      </x:c>
      <x:c r="D40" s="7" t="s">
        <x:v>556</x:v>
      </x:c>
      <x:c r="E40" s="7" t="s">
        <x:v>557</x:v>
      </x:c>
      <x:c r="F40" s="7" t="s">
        <x:v>558</x:v>
      </x:c>
      <x:c r="G40" s="7">
        <x:v>1630594</x:v>
      </x:c>
      <x:c r="H40" s="7"/>
      <x:c r="I40" s="7"/>
      <x:c r="J40" s="7" t="s">
        <x:v>559</x:v>
      </x:c>
      <x:c r="K40" s="7">
        <x:v>293</x:v>
      </x:c>
      <x:c r="L40" s="7" t="s">
        <x:v>243</x:v>
      </x:c>
      <x:c r="M40" s="7" t="s">
        <x:v>123</x:v>
      </x:c>
      <x:c r="N40" s="7" t="s">
        <x:v>124</x:v>
      </x:c>
      <x:c r="O40" s="7"/>
      <x:c r="P40" s="7"/>
      <x:c r="Q40" s="7" t="s">
        <x:v>407</x:v>
      </x:c>
      <x:c r="R40" s="7" t="s">
        <x:v>258</x:v>
      </x:c>
      <x:c r="S40" s="8" t="b">
        <x:v>0</x:v>
      </x:c>
      <x:c r="T40" s="7"/>
      <x:c r="U40" s="7"/>
      <x:c r="V40" s="7"/>
      <x:c r="W40" s="7" t="s">
        <x:v>560</x:v>
      </x:c>
      <x:c r="X40" s="7"/>
      <x:c r="Y40" s="7"/>
      <x:c r="Z40" s="7" t="str">
        <x:f t="shared" si="1"/>
      </x:c>
      <x:c r="AA40" s="7" t="n">
        <x:f>COUNTIF(assemblies!$B$2:$B$2029,A40)</x:f>
        <x:v>0</x:v>
      </x:c>
      <x:c r="AB40" s="7" t="n">
        <x:f>COUNTIF(pores!$B$2:$B$5028,A40)</x:f>
        <x:v>0</x:v>
      </x:c>
      <x:c r="AC40" s="7" t="n">
        <x:f>COUNTIF(evidence!$B$2:$B$10000,A40)</x:f>
        <x:v>0</x:v>
      </x:c>
      <x:c r="AD40" s="7" t="s">
        <x:v>561</x:v>
      </x:c>
      <x:c r="AE40" s="7" t="s">
        <x:v>562</x:v>
      </x:c>
      <x:c r="AF40" s="7" t="s">
        <x:v>411</x:v>
      </x:c>
      <x:c r="AG40" s="15"/>
    </x:row>
    <x:row r="41" ht="46.599998474121094" customHeight="1">
      <x:c r="A41" s="14" t="s">
        <x:v>563</x:v>
      </x:c>
      <x:c r="B41" s="10" t="s">
        <x:v>564</x:v>
      </x:c>
      <x:c r="C41" s="10" t="s">
        <x:v>537</x:v>
      </x:c>
      <x:c r="D41" s="10" t="s">
        <x:v>565</x:v>
      </x:c>
      <x:c r="E41" s="10" t="s">
        <x:v>566</x:v>
      </x:c>
      <x:c r="F41" s="10" t="s">
        <x:v>567</x:v>
      </x:c>
      <x:c r="G41" s="10">
        <x:v>3082388</x:v>
      </x:c>
      <x:c r="H41" s="10"/>
      <x:c r="I41" s="10"/>
      <x:c r="J41" s="10" t="s">
        <x:v>568</x:v>
      </x:c>
      <x:c r="K41" s="10">
        <x:v>290</x:v>
      </x:c>
      <x:c r="L41" s="10" t="s">
        <x:v>243</x:v>
      </x:c>
      <x:c r="M41" s="10" t="s">
        <x:v>123</x:v>
      </x:c>
      <x:c r="N41" s="10" t="s">
        <x:v>124</x:v>
      </x:c>
      <x:c r="O41" s="10"/>
      <x:c r="P41" s="10"/>
      <x:c r="Q41" s="10" t="s">
        <x:v>407</x:v>
      </x:c>
      <x:c r="R41" s="10" t="s">
        <x:v>258</x:v>
      </x:c>
      <x:c r="S41" s="11" t="b">
        <x:v>0</x:v>
      </x:c>
      <x:c r="T41" s="10"/>
      <x:c r="U41" s="10"/>
      <x:c r="V41" s="10"/>
      <x:c r="W41" s="10" t="s">
        <x:v>569</x:v>
      </x:c>
      <x:c r="X41" s="10"/>
      <x:c r="Y41" s="10"/>
      <x:c r="Z41" s="10" t="str">
        <x:f t="shared" si="1"/>
      </x:c>
      <x:c r="AA41" s="10" t="n">
        <x:f>COUNTIF(assemblies!$B$2:$B$2029,A41)</x:f>
        <x:v>0</x:v>
      </x:c>
      <x:c r="AB41" s="10" t="n">
        <x:f>COUNTIF(pores!$B$2:$B$5028,A41)</x:f>
        <x:v>0</x:v>
      </x:c>
      <x:c r="AC41" s="10" t="n">
        <x:f>COUNTIF(evidence!$B$2:$B$10000,A41)</x:f>
        <x:v>0</x:v>
      </x:c>
      <x:c r="AD41" s="10" t="s">
        <x:v>570</x:v>
      </x:c>
      <x:c r="AE41" s="10" t="s">
        <x:v>571</x:v>
      </x:c>
      <x:c r="AF41" s="10" t="s">
        <x:v>411</x:v>
      </x:c>
      <x:c r="AG41" s="16"/>
    </x:row>
    <x:row r="42" ht="59.95000076293945" customHeight="1">
      <x:c r="A42" s="13" t="s">
        <x:v>572</x:v>
      </x:c>
      <x:c r="B42" s="7" t="s">
        <x:v>573</x:v>
      </x:c>
      <x:c r="C42" s="7" t="s">
        <x:v>137</x:v>
      </x:c>
      <x:c r="D42" s="7" t="s">
        <x:v>574</x:v>
      </x:c>
      <x:c r="E42" s="7" t="s">
        <x:v>575</x:v>
      </x:c>
      <x:c r="F42" s="7" t="s">
        <x:v>576</x:v>
      </x:c>
      <x:c r="G42" s="7">
        <x:v>2705254</x:v>
      </x:c>
      <x:c r="H42" s="7"/>
      <x:c r="I42" s="7"/>
      <x:c r="J42" s="7" t="s">
        <x:v>577</x:v>
      </x:c>
      <x:c r="K42" s="7">
        <x:v>287</x:v>
      </x:c>
      <x:c r="L42" s="7" t="s">
        <x:v>243</x:v>
      </x:c>
      <x:c r="M42" s="7" t="s">
        <x:v>123</x:v>
      </x:c>
      <x:c r="N42" s="7" t="s">
        <x:v>124</x:v>
      </x:c>
      <x:c r="O42" s="7"/>
      <x:c r="P42" s="7"/>
      <x:c r="Q42" s="7" t="s">
        <x:v>407</x:v>
      </x:c>
      <x:c r="R42" s="7" t="s">
        <x:v>258</x:v>
      </x:c>
      <x:c r="S42" s="8" t="b">
        <x:v>0</x:v>
      </x:c>
      <x:c r="T42" s="7"/>
      <x:c r="U42" s="7"/>
      <x:c r="V42" s="7"/>
      <x:c r="W42" s="7" t="s">
        <x:v>578</x:v>
      </x:c>
      <x:c r="X42" s="7"/>
      <x:c r="Y42" s="7"/>
      <x:c r="Z42" s="7" t="str">
        <x:f t="shared" si="1"/>
      </x:c>
      <x:c r="AA42" s="7" t="n">
        <x:f>COUNTIF(assemblies!$B$2:$B$2029,A42)</x:f>
        <x:v>0</x:v>
      </x:c>
      <x:c r="AB42" s="7" t="n">
        <x:f>COUNTIF(pores!$B$2:$B$5028,A42)</x:f>
        <x:v>0</x:v>
      </x:c>
      <x:c r="AC42" s="7" t="n">
        <x:f>COUNTIF(evidence!$B$2:$B$10000,A42)</x:f>
        <x:v>0</x:v>
      </x:c>
      <x:c r="AD42" s="7" t="s">
        <x:v>579</x:v>
      </x:c>
      <x:c r="AE42" s="7" t="s">
        <x:v>580</x:v>
      </x:c>
      <x:c r="AF42" s="7" t="s">
        <x:v>411</x:v>
      </x:c>
      <x:c r="AG42" s="15"/>
    </x:row>
    <x:row r="43" ht="59.95000076293945" customHeight="1">
      <x:c r="A43" s="14" t="s">
        <x:v>581</x:v>
      </x:c>
      <x:c r="B43" s="10" t="s">
        <x:v>582</x:v>
      </x:c>
      <x:c r="C43" s="10" t="s">
        <x:v>137</x:v>
      </x:c>
      <x:c r="D43" s="10" t="s">
        <x:v>583</x:v>
      </x:c>
      <x:c r="E43" s="10" t="s">
        <x:v>584</x:v>
      </x:c>
      <x:c r="F43" s="10" t="s">
        <x:v>585</x:v>
      </x:c>
      <x:c r="G43" s="10">
        <x:v>1069813</x:v>
      </x:c>
      <x:c r="H43" s="10"/>
      <x:c r="I43" s="10"/>
      <x:c r="J43" s="10" t="s">
        <x:v>586</x:v>
      </x:c>
      <x:c r="K43" s="10">
        <x:v>283</x:v>
      </x:c>
      <x:c r="L43" s="10" t="s">
        <x:v>243</x:v>
      </x:c>
      <x:c r="M43" s="10" t="s">
        <x:v>123</x:v>
      </x:c>
      <x:c r="N43" s="10" t="s">
        <x:v>124</x:v>
      </x:c>
      <x:c r="O43" s="10"/>
      <x:c r="P43" s="10"/>
      <x:c r="Q43" s="10" t="s">
        <x:v>407</x:v>
      </x:c>
      <x:c r="R43" s="10" t="s">
        <x:v>258</x:v>
      </x:c>
      <x:c r="S43" s="11" t="b">
        <x:v>0</x:v>
      </x:c>
      <x:c r="T43" s="10"/>
      <x:c r="U43" s="10"/>
      <x:c r="V43" s="10"/>
      <x:c r="W43" s="10" t="s">
        <x:v>587</x:v>
      </x:c>
      <x:c r="X43" s="10"/>
      <x:c r="Y43" s="10"/>
      <x:c r="Z43" s="10" t="str">
        <x:f t="shared" si="1"/>
      </x:c>
      <x:c r="AA43" s="10" t="n">
        <x:f>COUNTIF(assemblies!$B$2:$B$2029,A43)</x:f>
        <x:v>0</x:v>
      </x:c>
      <x:c r="AB43" s="10" t="n">
        <x:f>COUNTIF(pores!$B$2:$B$5028,A43)</x:f>
        <x:v>0</x:v>
      </x:c>
      <x:c r="AC43" s="10" t="n">
        <x:f>COUNTIF(evidence!$B$2:$B$10000,A43)</x:f>
        <x:v>0</x:v>
      </x:c>
      <x:c r="AD43" s="10" t="s">
        <x:v>588</x:v>
      </x:c>
      <x:c r="AE43" s="10" t="s">
        <x:v>589</x:v>
      </x:c>
      <x:c r="AF43" s="10" t="s">
        <x:v>411</x:v>
      </x:c>
      <x:c r="AG43" s="16"/>
    </x:row>
    <x:row r="44" ht="59.95000076293945" customHeight="1">
      <x:c r="A44" s="13" t="s">
        <x:v>590</x:v>
      </x:c>
      <x:c r="B44" s="7" t="s">
        <x:v>591</x:v>
      </x:c>
      <x:c r="C44" s="7" t="s">
        <x:v>537</x:v>
      </x:c>
      <x:c r="D44" s="7" t="s">
        <x:v>592</x:v>
      </x:c>
      <x:c r="E44" s="7" t="s">
        <x:v>593</x:v>
      </x:c>
      <x:c r="F44" s="7" t="s">
        <x:v>594</x:v>
      </x:c>
      <x:c r="G44" s="7">
        <x:v>2995310</x:v>
      </x:c>
      <x:c r="H44" s="7"/>
      <x:c r="I44" s="7"/>
      <x:c r="J44" s="7" t="s">
        <x:v>595</x:v>
      </x:c>
      <x:c r="K44" s="7">
        <x:v>285</x:v>
      </x:c>
      <x:c r="L44" s="7" t="s">
        <x:v>243</x:v>
      </x:c>
      <x:c r="M44" s="7" t="s">
        <x:v>123</x:v>
      </x:c>
      <x:c r="N44" s="7" t="s">
        <x:v>124</x:v>
      </x:c>
      <x:c r="O44" s="7"/>
      <x:c r="P44" s="7"/>
      <x:c r="Q44" s="7" t="s">
        <x:v>407</x:v>
      </x:c>
      <x:c r="R44" s="7" t="s">
        <x:v>258</x:v>
      </x:c>
      <x:c r="S44" s="8" t="b">
        <x:v>0</x:v>
      </x:c>
      <x:c r="T44" s="7"/>
      <x:c r="U44" s="7"/>
      <x:c r="V44" s="7"/>
      <x:c r="W44" s="7" t="s">
        <x:v>596</x:v>
      </x:c>
      <x:c r="X44" s="7"/>
      <x:c r="Y44" s="7"/>
      <x:c r="Z44" s="7" t="str">
        <x:f t="shared" si="1"/>
      </x:c>
      <x:c r="AA44" s="7" t="n">
        <x:f>COUNTIF(assemblies!$B$2:$B$2029,A44)</x:f>
        <x:v>0</x:v>
      </x:c>
      <x:c r="AB44" s="7" t="n">
        <x:f>COUNTIF(pores!$B$2:$B$5028,A44)</x:f>
        <x:v>0</x:v>
      </x:c>
      <x:c r="AC44" s="7" t="n">
        <x:f>COUNTIF(evidence!$B$2:$B$10000,A44)</x:f>
        <x:v>0</x:v>
      </x:c>
      <x:c r="AD44" s="7" t="s">
        <x:v>597</x:v>
      </x:c>
      <x:c r="AE44" s="7" t="s">
        <x:v>598</x:v>
      </x:c>
      <x:c r="AF44" s="7" t="s">
        <x:v>411</x:v>
      </x:c>
      <x:c r="AG44" s="15"/>
    </x:row>
    <x:row r="45" ht="59.95000076293945" customHeight="1">
      <x:c r="A45" s="14" t="s">
        <x:v>599</x:v>
      </x:c>
      <x:c r="B45" s="10" t="s">
        <x:v>600</x:v>
      </x:c>
      <x:c r="C45" s="10" t="s">
        <x:v>537</x:v>
      </x:c>
      <x:c r="D45" s="10" t="s">
        <x:v>601</x:v>
      </x:c>
      <x:c r="E45" s="10" t="s">
        <x:v>602</x:v>
      </x:c>
      <x:c r="F45" s="10" t="s">
        <x:v>603</x:v>
      </x:c>
      <x:c r="G45" s="10">
        <x:v>2995309</x:v>
      </x:c>
      <x:c r="H45" s="10"/>
      <x:c r="I45" s="10"/>
      <x:c r="J45" s="10" t="s">
        <x:v>604</x:v>
      </x:c>
      <x:c r="K45" s="10">
        <x:v>287</x:v>
      </x:c>
      <x:c r="L45" s="10" t="s">
        <x:v>243</x:v>
      </x:c>
      <x:c r="M45" s="10" t="s">
        <x:v>123</x:v>
      </x:c>
      <x:c r="N45" s="10" t="s">
        <x:v>124</x:v>
      </x:c>
      <x:c r="O45" s="10"/>
      <x:c r="P45" s="10"/>
      <x:c r="Q45" s="10" t="s">
        <x:v>407</x:v>
      </x:c>
      <x:c r="R45" s="10" t="s">
        <x:v>258</x:v>
      </x:c>
      <x:c r="S45" s="11" t="b">
        <x:v>0</x:v>
      </x:c>
      <x:c r="T45" s="10"/>
      <x:c r="U45" s="10"/>
      <x:c r="V45" s="10"/>
      <x:c r="W45" s="10" t="s">
        <x:v>605</x:v>
      </x:c>
      <x:c r="X45" s="10"/>
      <x:c r="Y45" s="10"/>
      <x:c r="Z45" s="10" t="str">
        <x:f t="shared" si="1"/>
      </x:c>
      <x:c r="AA45" s="10" t="n">
        <x:f>COUNTIF(assemblies!$B$2:$B$2029,A45)</x:f>
        <x:v>0</x:v>
      </x:c>
      <x:c r="AB45" s="10" t="n">
        <x:f>COUNTIF(pores!$B$2:$B$5028,A45)</x:f>
        <x:v>0</x:v>
      </x:c>
      <x:c r="AC45" s="10" t="n">
        <x:f>COUNTIF(evidence!$B$2:$B$10000,A45)</x:f>
        <x:v>0</x:v>
      </x:c>
      <x:c r="AD45" s="10" t="s">
        <x:v>606</x:v>
      </x:c>
      <x:c r="AE45" s="10" t="s">
        <x:v>607</x:v>
      </x:c>
      <x:c r="AF45" s="10" t="s">
        <x:v>411</x:v>
      </x:c>
      <x:c r="AG45" s="16"/>
    </x:row>
    <x:row r="46" ht="46.599998474121094" customHeight="1">
      <x:c r="A46" s="13" t="s">
        <x:v>608</x:v>
      </x:c>
      <x:c r="B46" s="7" t="s">
        <x:v>609</x:v>
      </x:c>
      <x:c r="C46" s="7" t="s">
        <x:v>537</x:v>
      </x:c>
      <x:c r="D46" s="7" t="s">
        <x:v>610</x:v>
      </x:c>
      <x:c r="E46" s="7" t="s">
        <x:v>611</x:v>
      </x:c>
      <x:c r="F46" s="7" t="s">
        <x:v>612</x:v>
      </x:c>
      <x:c r="G46" s="7">
        <x:v>3103134</x:v>
      </x:c>
      <x:c r="H46" s="7"/>
      <x:c r="I46" s="7"/>
      <x:c r="J46" s="7" t="s">
        <x:v>613</x:v>
      </x:c>
      <x:c r="K46" s="7">
        <x:v>285</x:v>
      </x:c>
      <x:c r="L46" s="7" t="s">
        <x:v>243</x:v>
      </x:c>
      <x:c r="M46" s="7" t="s">
        <x:v>123</x:v>
      </x:c>
      <x:c r="N46" s="7" t="s">
        <x:v>124</x:v>
      </x:c>
      <x:c r="O46" s="7"/>
      <x:c r="P46" s="7"/>
      <x:c r="Q46" s="7" t="s">
        <x:v>407</x:v>
      </x:c>
      <x:c r="R46" s="7" t="s">
        <x:v>258</x:v>
      </x:c>
      <x:c r="S46" s="8" t="b">
        <x:v>0</x:v>
      </x:c>
      <x:c r="T46" s="7"/>
      <x:c r="U46" s="7"/>
      <x:c r="V46" s="7"/>
      <x:c r="W46" s="7" t="s">
        <x:v>614</x:v>
      </x:c>
      <x:c r="X46" s="7"/>
      <x:c r="Y46" s="7"/>
      <x:c r="Z46" s="7" t="str">
        <x:f t="shared" si="1"/>
      </x:c>
      <x:c r="AA46" s="7" t="n">
        <x:f>COUNTIF(assemblies!$B$2:$B$2029,A46)</x:f>
        <x:v>0</x:v>
      </x:c>
      <x:c r="AB46" s="7" t="n">
        <x:f>COUNTIF(pores!$B$2:$B$5028,A46)</x:f>
        <x:v>0</x:v>
      </x:c>
      <x:c r="AC46" s="7" t="n">
        <x:f>COUNTIF(evidence!$B$2:$B$10000,A46)</x:f>
        <x:v>0</x:v>
      </x:c>
      <x:c r="AD46" s="7" t="s">
        <x:v>615</x:v>
      </x:c>
      <x:c r="AE46" s="7" t="s">
        <x:v>616</x:v>
      </x:c>
      <x:c r="AF46" s="7" t="s">
        <x:v>411</x:v>
      </x:c>
      <x:c r="AG46" s="15"/>
    </x:row>
    <x:row r="47" ht="46.599998474121094" customHeight="1">
      <x:c r="A47" s="14" t="s">
        <x:v>617</x:v>
      </x:c>
      <x:c r="B47" s="10" t="s">
        <x:v>618</x:v>
      </x:c>
      <x:c r="C47" s="10" t="s">
        <x:v>537</x:v>
      </x:c>
      <x:c r="D47" s="10" t="s">
        <x:v>619</x:v>
      </x:c>
      <x:c r="E47" s="10" t="s">
        <x:v>620</x:v>
      </x:c>
      <x:c r="F47" s="10" t="s">
        <x:v>621</x:v>
      </x:c>
      <x:c r="G47" s="10">
        <x:v>1729899</x:v>
      </x:c>
      <x:c r="H47" s="10"/>
      <x:c r="I47" s="10"/>
      <x:c r="J47" s="10" t="s">
        <x:v>622</x:v>
      </x:c>
      <x:c r="K47" s="10">
        <x:v>289</x:v>
      </x:c>
      <x:c r="L47" s="10" t="s">
        <x:v>243</x:v>
      </x:c>
      <x:c r="M47" s="10" t="s">
        <x:v>123</x:v>
      </x:c>
      <x:c r="N47" s="10" t="s">
        <x:v>124</x:v>
      </x:c>
      <x:c r="O47" s="10"/>
      <x:c r="P47" s="10"/>
      <x:c r="Q47" s="10" t="s">
        <x:v>407</x:v>
      </x:c>
      <x:c r="R47" s="10" t="s">
        <x:v>258</x:v>
      </x:c>
      <x:c r="S47" s="11" t="b">
        <x:v>0</x:v>
      </x:c>
      <x:c r="T47" s="10"/>
      <x:c r="U47" s="10"/>
      <x:c r="V47" s="10"/>
      <x:c r="W47" s="10" t="s">
        <x:v>623</x:v>
      </x:c>
      <x:c r="X47" s="10"/>
      <x:c r="Y47" s="10"/>
      <x:c r="Z47" s="10" t="str">
        <x:f t="shared" si="1"/>
      </x:c>
      <x:c r="AA47" s="10" t="n">
        <x:f>COUNTIF(assemblies!$B$2:$B$2029,A47)</x:f>
        <x:v>0</x:v>
      </x:c>
      <x:c r="AB47" s="10" t="n">
        <x:f>COUNTIF(pores!$B$2:$B$5028,A47)</x:f>
        <x:v>0</x:v>
      </x:c>
      <x:c r="AC47" s="10" t="n">
        <x:f>COUNTIF(evidence!$B$2:$B$10000,A47)</x:f>
        <x:v>0</x:v>
      </x:c>
      <x:c r="AD47" s="10" t="s">
        <x:v>624</x:v>
      </x:c>
      <x:c r="AE47" s="10" t="s">
        <x:v>625</x:v>
      </x:c>
      <x:c r="AF47" s="10" t="s">
        <x:v>411</x:v>
      </x:c>
      <x:c r="AG47" s="16"/>
    </x:row>
    <x:row r="48" ht="59.95000076293945" customHeight="1">
      <x:c r="A48" s="13" t="s">
        <x:v>626</x:v>
      </x:c>
      <x:c r="B48" s="7" t="s">
        <x:v>627</x:v>
      </x:c>
      <x:c r="C48" s="7" t="s">
        <x:v>137</x:v>
      </x:c>
      <x:c r="D48" s="7" t="s">
        <x:v>628</x:v>
      </x:c>
      <x:c r="E48" s="7" t="s">
        <x:v>629</x:v>
      </x:c>
      <x:c r="F48" s="7" t="s">
        <x:v>630</x:v>
      </x:c>
      <x:c r="G48" s="7">
        <x:v>110101</x:v>
      </x:c>
      <x:c r="H48" s="7"/>
      <x:c r="I48" s="7"/>
      <x:c r="J48" s="7" t="s">
        <x:v>631</x:v>
      </x:c>
      <x:c r="K48" s="7">
        <x:v>285</x:v>
      </x:c>
      <x:c r="L48" s="7" t="s">
        <x:v>243</x:v>
      </x:c>
      <x:c r="M48" s="7" t="s">
        <x:v>123</x:v>
      </x:c>
      <x:c r="N48" s="7" t="s">
        <x:v>124</x:v>
      </x:c>
      <x:c r="O48" s="7"/>
      <x:c r="P48" s="7"/>
      <x:c r="Q48" s="7" t="s">
        <x:v>407</x:v>
      </x:c>
      <x:c r="R48" s="7" t="s">
        <x:v>258</x:v>
      </x:c>
      <x:c r="S48" s="8" t="b">
        <x:v>0</x:v>
      </x:c>
      <x:c r="T48" s="7"/>
      <x:c r="U48" s="7"/>
      <x:c r="V48" s="7"/>
      <x:c r="W48" s="7" t="s">
        <x:v>632</x:v>
      </x:c>
      <x:c r="X48" s="7"/>
      <x:c r="Y48" s="7"/>
      <x:c r="Z48" s="7" t="str">
        <x:f t="shared" si="1"/>
      </x:c>
      <x:c r="AA48" s="7" t="n">
        <x:f>COUNTIF(assemblies!$B$2:$B$2029,A48)</x:f>
        <x:v>0</x:v>
      </x:c>
      <x:c r="AB48" s="7" t="n">
        <x:f>COUNTIF(pores!$B$2:$B$5028,A48)</x:f>
        <x:v>0</x:v>
      </x:c>
      <x:c r="AC48" s="7" t="n">
        <x:f>COUNTIF(evidence!$B$2:$B$10000,A48)</x:f>
        <x:v>0</x:v>
      </x:c>
      <x:c r="AD48" s="7" t="s">
        <x:v>633</x:v>
      </x:c>
      <x:c r="AE48" s="7" t="s">
        <x:v>634</x:v>
      </x:c>
      <x:c r="AF48" s="7" t="s">
        <x:v>411</x:v>
      </x:c>
      <x:c r="AG48" s="15"/>
    </x:row>
    <x:row r="49" ht="46.599998474121094" customHeight="1">
      <x:c r="A49" s="14" t="s">
        <x:v>635</x:v>
      </x:c>
      <x:c r="B49" s="10" t="s">
        <x:v>636</x:v>
      </x:c>
      <x:c r="C49" s="10" t="s">
        <x:v>137</x:v>
      </x:c>
      <x:c r="D49" s="10" t="s">
        <x:v>637</x:v>
      </x:c>
      <x:c r="E49" s="10" t="s">
        <x:v>638</x:v>
      </x:c>
      <x:c r="F49" s="10" t="s">
        <x:v>639</x:v>
      </x:c>
      <x:c r="G49" s="10">
        <x:v>554880</x:v>
      </x:c>
      <x:c r="H49" s="10"/>
      <x:c r="I49" s="10"/>
      <x:c r="J49" s="10" t="s">
        <x:v>640</x:v>
      </x:c>
      <x:c r="K49" s="10">
        <x:v>301</x:v>
      </x:c>
      <x:c r="L49" s="10" t="s">
        <x:v>243</x:v>
      </x:c>
      <x:c r="M49" s="10" t="s">
        <x:v>123</x:v>
      </x:c>
      <x:c r="N49" s="10" t="s">
        <x:v>124</x:v>
      </x:c>
      <x:c r="O49" s="10"/>
      <x:c r="P49" s="10"/>
      <x:c r="Q49" s="10" t="s">
        <x:v>407</x:v>
      </x:c>
      <x:c r="R49" s="10" t="s">
        <x:v>258</x:v>
      </x:c>
      <x:c r="S49" s="11" t="b">
        <x:v>0</x:v>
      </x:c>
      <x:c r="T49" s="10"/>
      <x:c r="U49" s="10"/>
      <x:c r="V49" s="10"/>
      <x:c r="W49" s="10" t="s">
        <x:v>641</x:v>
      </x:c>
      <x:c r="X49" s="10"/>
      <x:c r="Y49" s="10"/>
      <x:c r="Z49" s="10" t="str">
        <x:f t="shared" si="1"/>
      </x:c>
      <x:c r="AA49" s="10" t="n">
        <x:f>COUNTIF(assemblies!$B$2:$B$2029,A49)</x:f>
        <x:v>0</x:v>
      </x:c>
      <x:c r="AB49" s="10" t="n">
        <x:f>COUNTIF(pores!$B$2:$B$5028,A49)</x:f>
        <x:v>0</x:v>
      </x:c>
      <x:c r="AC49" s="10" t="n">
        <x:f>COUNTIF(evidence!$B$2:$B$10000,A49)</x:f>
        <x:v>0</x:v>
      </x:c>
      <x:c r="AD49" s="10" t="s">
        <x:v>642</x:v>
      </x:c>
      <x:c r="AE49" s="10" t="s">
        <x:v>643</x:v>
      </x:c>
      <x:c r="AF49" s="10" t="s">
        <x:v>411</x:v>
      </x:c>
      <x:c r="AG49" s="16"/>
    </x:row>
    <x:row r="50" ht="59.95000076293945" customHeight="1">
      <x:c r="A50" s="13" t="s">
        <x:v>644</x:v>
      </x:c>
      <x:c r="B50" s="7" t="s">
        <x:v>645</x:v>
      </x:c>
      <x:c r="C50" s="7" t="s">
        <x:v>537</x:v>
      </x:c>
      <x:c r="D50" s="7" t="s">
        <x:v>646</x:v>
      </x:c>
      <x:c r="E50" s="7" t="s">
        <x:v>647</x:v>
      </x:c>
      <x:c r="F50" s="7" t="s">
        <x:v>648</x:v>
      </x:c>
      <x:c r="G50" s="7">
        <x:v>3080828</x:v>
      </x:c>
      <x:c r="H50" s="7"/>
      <x:c r="I50" s="7"/>
      <x:c r="J50" s="7" t="s">
        <x:v>649</x:v>
      </x:c>
      <x:c r="K50" s="7">
        <x:v>309</x:v>
      </x:c>
      <x:c r="L50" s="7" t="s">
        <x:v>243</x:v>
      </x:c>
      <x:c r="M50" s="7" t="s">
        <x:v>123</x:v>
      </x:c>
      <x:c r="N50" s="7" t="s">
        <x:v>124</x:v>
      </x:c>
      <x:c r="O50" s="7"/>
      <x:c r="P50" s="7"/>
      <x:c r="Q50" s="7" t="s">
        <x:v>407</x:v>
      </x:c>
      <x:c r="R50" s="7" t="s">
        <x:v>258</x:v>
      </x:c>
      <x:c r="S50" s="8" t="b">
        <x:v>0</x:v>
      </x:c>
      <x:c r="T50" s="7"/>
      <x:c r="U50" s="7"/>
      <x:c r="V50" s="7"/>
      <x:c r="W50" s="7" t="s">
        <x:v>650</x:v>
      </x:c>
      <x:c r="X50" s="7"/>
      <x:c r="Y50" s="7"/>
      <x:c r="Z50" s="7" t="str">
        <x:f t="shared" si="1"/>
      </x:c>
      <x:c r="AA50" s="7" t="n">
        <x:f>COUNTIF(assemblies!$B$2:$B$2029,A50)</x:f>
        <x:v>0</x:v>
      </x:c>
      <x:c r="AB50" s="7" t="n">
        <x:f>COUNTIF(pores!$B$2:$B$5028,A50)</x:f>
        <x:v>0</x:v>
      </x:c>
      <x:c r="AC50" s="7" t="n">
        <x:f>COUNTIF(evidence!$B$2:$B$10000,A50)</x:f>
        <x:v>0</x:v>
      </x:c>
      <x:c r="AD50" s="7" t="s">
        <x:v>651</x:v>
      </x:c>
      <x:c r="AE50" s="7" t="s">
        <x:v>652</x:v>
      </x:c>
      <x:c r="AF50" s="7" t="s">
        <x:v>411</x:v>
      </x:c>
      <x:c r="AG50" s="15"/>
    </x:row>
    <x:row r="51" ht="46.599998474121094" customHeight="1">
      <x:c r="A51" s="14" t="s">
        <x:v>653</x:v>
      </x:c>
      <x:c r="B51" s="10" t="s">
        <x:v>654</x:v>
      </x:c>
      <x:c r="C51" s="10" t="s">
        <x:v>137</x:v>
      </x:c>
      <x:c r="D51" s="10" t="s">
        <x:v>655</x:v>
      </x:c>
      <x:c r="E51" s="10" t="s">
        <x:v>656</x:v>
      </x:c>
      <x:c r="F51" s="10" t="s">
        <x:v>657</x:v>
      </x:c>
      <x:c r="G51" s="10">
        <x:v>927661</x:v>
      </x:c>
      <x:c r="H51" s="10"/>
      <x:c r="I51" s="10"/>
      <x:c r="J51" s="10" t="s">
        <x:v>658</x:v>
      </x:c>
      <x:c r="K51" s="10">
        <x:v>266</x:v>
      </x:c>
      <x:c r="L51" s="10" t="s">
        <x:v>243</x:v>
      </x:c>
      <x:c r="M51" s="10" t="s">
        <x:v>123</x:v>
      </x:c>
      <x:c r="N51" s="10" t="s">
        <x:v>124</x:v>
      </x:c>
      <x:c r="O51" s="10"/>
      <x:c r="P51" s="10"/>
      <x:c r="Q51" s="10" t="s">
        <x:v>407</x:v>
      </x:c>
      <x:c r="R51" s="10" t="s">
        <x:v>258</x:v>
      </x:c>
      <x:c r="S51" s="11" t="b">
        <x:v>0</x:v>
      </x:c>
      <x:c r="T51" s="10"/>
      <x:c r="U51" s="10"/>
      <x:c r="V51" s="10"/>
      <x:c r="W51" s="10" t="s">
        <x:v>659</x:v>
      </x:c>
      <x:c r="X51" s="10"/>
      <x:c r="Y51" s="10"/>
      <x:c r="Z51" s="10" t="str">
        <x:f t="shared" si="1"/>
      </x:c>
      <x:c r="AA51" s="10" t="n">
        <x:f>COUNTIF(assemblies!$B$2:$B$2029,A51)</x:f>
        <x:v>0</x:v>
      </x:c>
      <x:c r="AB51" s="10" t="n">
        <x:f>COUNTIF(pores!$B$2:$B$5028,A51)</x:f>
        <x:v>0</x:v>
      </x:c>
      <x:c r="AC51" s="10" t="n">
        <x:f>COUNTIF(evidence!$B$2:$B$10000,A51)</x:f>
        <x:v>0</x:v>
      </x:c>
      <x:c r="AD51" s="10" t="s">
        <x:v>660</x:v>
      </x:c>
      <x:c r="AE51" s="10" t="s">
        <x:v>661</x:v>
      </x:c>
      <x:c r="AF51" s="10" t="s">
        <x:v>411</x:v>
      </x:c>
      <x:c r="AG51" s="16"/>
    </x:row>
    <x:row r="52" ht="46.599998474121094" customHeight="1">
      <x:c r="A52" s="13" t="s">
        <x:v>662</x:v>
      </x:c>
      <x:c r="B52" s="7" t="s">
        <x:v>663</x:v>
      </x:c>
      <x:c r="C52" s="7" t="s">
        <x:v>137</x:v>
      </x:c>
      <x:c r="D52" s="7" t="s">
        <x:v>664</x:v>
      </x:c>
      <x:c r="E52" s="7" t="s">
        <x:v>665</x:v>
      </x:c>
      <x:c r="F52" s="7" t="s">
        <x:v>154</x:v>
      </x:c>
      <x:c r="G52" s="7">
        <x:v>47839</x:v>
      </x:c>
      <x:c r="H52" s="7"/>
      <x:c r="I52" s="7"/>
      <x:c r="J52" s="7" t="s">
        <x:v>666</x:v>
      </x:c>
      <x:c r="K52" s="7">
        <x:v>266</x:v>
      </x:c>
      <x:c r="L52" s="7" t="s">
        <x:v>243</x:v>
      </x:c>
      <x:c r="M52" s="7" t="s">
        <x:v>123</x:v>
      </x:c>
      <x:c r="N52" s="7" t="s">
        <x:v>124</x:v>
      </x:c>
      <x:c r="O52" s="7"/>
      <x:c r="P52" s="7"/>
      <x:c r="Q52" s="7" t="s">
        <x:v>407</x:v>
      </x:c>
      <x:c r="R52" s="7" t="s">
        <x:v>258</x:v>
      </x:c>
      <x:c r="S52" s="8" t="b">
        <x:v>0</x:v>
      </x:c>
      <x:c r="T52" s="7"/>
      <x:c r="U52" s="7"/>
      <x:c r="V52" s="7"/>
      <x:c r="W52" s="7" t="s">
        <x:v>667</x:v>
      </x:c>
      <x:c r="X52" s="7"/>
      <x:c r="Y52" s="7"/>
      <x:c r="Z52" s="7" t="str">
        <x:f t="shared" si="1"/>
      </x:c>
      <x:c r="AA52" s="7" t="n">
        <x:f>COUNTIF(assemblies!$B$2:$B$2029,A52)</x:f>
        <x:v>0</x:v>
      </x:c>
      <x:c r="AB52" s="7" t="n">
        <x:f>COUNTIF(pores!$B$2:$B$5028,A52)</x:f>
        <x:v>0</x:v>
      </x:c>
      <x:c r="AC52" s="7" t="n">
        <x:f>COUNTIF(evidence!$B$2:$B$10000,A52)</x:f>
        <x:v>0</x:v>
      </x:c>
      <x:c r="AD52" s="7" t="s">
        <x:v>668</x:v>
      </x:c>
      <x:c r="AE52" s="7" t="s">
        <x:v>669</x:v>
      </x:c>
      <x:c r="AF52" s="7" t="s">
        <x:v>411</x:v>
      </x:c>
      <x:c r="AG52" s="15"/>
    </x:row>
    <x:row r="53" ht="59.95000076293945" customHeight="1">
      <x:c r="A53" s="14" t="s">
        <x:v>670</x:v>
      </x:c>
      <x:c r="B53" s="10" t="s">
        <x:v>671</x:v>
      </x:c>
      <x:c r="C53" s="10" t="s">
        <x:v>137</x:v>
      </x:c>
      <x:c r="D53" s="10" t="s">
        <x:v>672</x:v>
      </x:c>
      <x:c r="E53" s="10" t="s">
        <x:v>673</x:v>
      </x:c>
      <x:c r="F53" s="10" t="s">
        <x:v>154</x:v>
      </x:c>
      <x:c r="G53" s="10">
        <x:v>1324261</x:v>
      </x:c>
      <x:c r="H53" s="10"/>
      <x:c r="I53" s="10"/>
      <x:c r="J53" s="10" t="s">
        <x:v>674</x:v>
      </x:c>
      <x:c r="K53" s="10">
        <x:v>265</x:v>
      </x:c>
      <x:c r="L53" s="10" t="s">
        <x:v>243</x:v>
      </x:c>
      <x:c r="M53" s="10" t="s">
        <x:v>123</x:v>
      </x:c>
      <x:c r="N53" s="10" t="s">
        <x:v>124</x:v>
      </x:c>
      <x:c r="O53" s="10"/>
      <x:c r="P53" s="10"/>
      <x:c r="Q53" s="10" t="s">
        <x:v>407</x:v>
      </x:c>
      <x:c r="R53" s="10" t="s">
        <x:v>258</x:v>
      </x:c>
      <x:c r="S53" s="11" t="b">
        <x:v>0</x:v>
      </x:c>
      <x:c r="T53" s="10"/>
      <x:c r="U53" s="10"/>
      <x:c r="V53" s="10"/>
      <x:c r="W53" s="10" t="s">
        <x:v>675</x:v>
      </x:c>
      <x:c r="X53" s="10"/>
      <x:c r="Y53" s="10"/>
      <x:c r="Z53" s="10" t="str">
        <x:f t="shared" si="1"/>
      </x:c>
      <x:c r="AA53" s="10" t="n">
        <x:f>COUNTIF(assemblies!$B$2:$B$2029,A53)</x:f>
        <x:v>0</x:v>
      </x:c>
      <x:c r="AB53" s="10" t="n">
        <x:f>COUNTIF(pores!$B$2:$B$5028,A53)</x:f>
        <x:v>0</x:v>
      </x:c>
      <x:c r="AC53" s="10" t="n">
        <x:f>COUNTIF(evidence!$B$2:$B$10000,A53)</x:f>
        <x:v>0</x:v>
      </x:c>
      <x:c r="AD53" s="10" t="s">
        <x:v>676</x:v>
      </x:c>
      <x:c r="AE53" s="10" t="s">
        <x:v>677</x:v>
      </x:c>
      <x:c r="AF53" s="10" t="s">
        <x:v>411</x:v>
      </x:c>
      <x:c r="AG53" s="16"/>
    </x:row>
    <x:row r="54" ht="59.95000076293945" customHeight="1">
      <x:c r="A54" s="13" t="s">
        <x:v>678</x:v>
      </x:c>
      <x:c r="B54" s="7" t="s">
        <x:v>679</x:v>
      </x:c>
      <x:c r="C54" s="7" t="s">
        <x:v>137</x:v>
      </x:c>
      <x:c r="D54" s="7" t="s">
        <x:v>680</x:v>
      </x:c>
      <x:c r="E54" s="7" t="s">
        <x:v>681</x:v>
      </x:c>
      <x:c r="F54" s="7" t="s">
        <x:v>271</x:v>
      </x:c>
      <x:c r="G54" s="7">
        <x:v>1440774</x:v>
      </x:c>
      <x:c r="H54" s="7"/>
      <x:c r="I54" s="7"/>
      <x:c r="J54" s="7" t="s">
        <x:v>682</x:v>
      </x:c>
      <x:c r="K54" s="7">
        <x:v>265</x:v>
      </x:c>
      <x:c r="L54" s="7" t="s">
        <x:v>243</x:v>
      </x:c>
      <x:c r="M54" s="7" t="s">
        <x:v>123</x:v>
      </x:c>
      <x:c r="N54" s="7" t="s">
        <x:v>124</x:v>
      </x:c>
      <x:c r="O54" s="7"/>
      <x:c r="P54" s="7"/>
      <x:c r="Q54" s="7" t="s">
        <x:v>407</x:v>
      </x:c>
      <x:c r="R54" s="7" t="s">
        <x:v>258</x:v>
      </x:c>
      <x:c r="S54" s="8" t="b">
        <x:v>0</x:v>
      </x:c>
      <x:c r="T54" s="7"/>
      <x:c r="U54" s="7"/>
      <x:c r="V54" s="7"/>
      <x:c r="W54" s="7" t="s">
        <x:v>683</x:v>
      </x:c>
      <x:c r="X54" s="7"/>
      <x:c r="Y54" s="7"/>
      <x:c r="Z54" s="7" t="str">
        <x:f t="shared" si="1"/>
      </x:c>
      <x:c r="AA54" s="7" t="n">
        <x:f>COUNTIF(assemblies!$B$2:$B$2029,A54)</x:f>
        <x:v>0</x:v>
      </x:c>
      <x:c r="AB54" s="7" t="n">
        <x:f>COUNTIF(pores!$B$2:$B$5028,A54)</x:f>
        <x:v>0</x:v>
      </x:c>
      <x:c r="AC54" s="7" t="n">
        <x:f>COUNTIF(evidence!$B$2:$B$10000,A54)</x:f>
        <x:v>0</x:v>
      </x:c>
      <x:c r="AD54" s="7" t="s">
        <x:v>684</x:v>
      </x:c>
      <x:c r="AE54" s="7" t="s">
        <x:v>685</x:v>
      </x:c>
      <x:c r="AF54" s="7" t="s">
        <x:v>411</x:v>
      </x:c>
      <x:c r="AG54" s="15"/>
    </x:row>
    <x:row r="55" ht="46.599998474121094" customHeight="1">
      <x:c r="A55" s="14" t="s">
        <x:v>686</x:v>
      </x:c>
      <x:c r="B55" s="10" t="s">
        <x:v>687</x:v>
      </x:c>
      <x:c r="C55" s="10" t="s">
        <x:v>137</x:v>
      </x:c>
      <x:c r="D55" s="10" t="s">
        <x:v>688</x:v>
      </x:c>
      <x:c r="E55" s="10" t="s">
        <x:v>689</x:v>
      </x:c>
      <x:c r="F55" s="10" t="s">
        <x:v>690</x:v>
      </x:c>
      <x:c r="G55" s="10">
        <x:v>1348663</x:v>
      </x:c>
      <x:c r="H55" s="10"/>
      <x:c r="I55" s="10"/>
      <x:c r="J55" s="10" t="s">
        <x:v>691</x:v>
      </x:c>
      <x:c r="K55" s="10">
        <x:v>266</x:v>
      </x:c>
      <x:c r="L55" s="10" t="s">
        <x:v>243</x:v>
      </x:c>
      <x:c r="M55" s="10" t="s">
        <x:v>123</x:v>
      </x:c>
      <x:c r="N55" s="10" t="s">
        <x:v>124</x:v>
      </x:c>
      <x:c r="O55" s="10"/>
      <x:c r="P55" s="10"/>
      <x:c r="Q55" s="10" t="s">
        <x:v>407</x:v>
      </x:c>
      <x:c r="R55" s="10" t="s">
        <x:v>258</x:v>
      </x:c>
      <x:c r="S55" s="11" t="b">
        <x:v>0</x:v>
      </x:c>
      <x:c r="T55" s="10"/>
      <x:c r="U55" s="10"/>
      <x:c r="V55" s="10"/>
      <x:c r="W55" s="10" t="s">
        <x:v>692</x:v>
      </x:c>
      <x:c r="X55" s="10"/>
      <x:c r="Y55" s="10"/>
      <x:c r="Z55" s="10" t="str">
        <x:f t="shared" si="1"/>
      </x:c>
      <x:c r="AA55" s="10" t="n">
        <x:f>COUNTIF(assemblies!$B$2:$B$2029,A55)</x:f>
        <x:v>0</x:v>
      </x:c>
      <x:c r="AB55" s="10" t="n">
        <x:f>COUNTIF(pores!$B$2:$B$5028,A55)</x:f>
        <x:v>0</x:v>
      </x:c>
      <x:c r="AC55" s="10" t="n">
        <x:f>COUNTIF(evidence!$B$2:$B$10000,A55)</x:f>
        <x:v>0</x:v>
      </x:c>
      <x:c r="AD55" s="10" t="s">
        <x:v>693</x:v>
      </x:c>
      <x:c r="AE55" s="10" t="s">
        <x:v>694</x:v>
      </x:c>
      <x:c r="AF55" s="10" t="s">
        <x:v>411</x:v>
      </x:c>
      <x:c r="AG55" s="16"/>
    </x:row>
    <x:row r="56" ht="46.599998474121094" customHeight="1">
      <x:c r="A56" s="13" t="s">
        <x:v>695</x:v>
      </x:c>
      <x:c r="B56" s="7" t="s">
        <x:v>696</x:v>
      </x:c>
      <x:c r="C56" s="7" t="s">
        <x:v>137</x:v>
      </x:c>
      <x:c r="D56" s="7" t="s">
        <x:v>697</x:v>
      </x:c>
      <x:c r="E56" s="7" t="s">
        <x:v>698</x:v>
      </x:c>
      <x:c r="F56" s="7" t="s">
        <x:v>699</x:v>
      </x:c>
      <x:c r="G56" s="7">
        <x:v>1121324</x:v>
      </x:c>
      <x:c r="H56" s="7"/>
      <x:c r="I56" s="7"/>
      <x:c r="J56" s="7" t="s">
        <x:v>700</x:v>
      </x:c>
      <x:c r="K56" s="7">
        <x:v>264</x:v>
      </x:c>
      <x:c r="L56" s="7" t="s">
        <x:v>243</x:v>
      </x:c>
      <x:c r="M56" s="7" t="s">
        <x:v>123</x:v>
      </x:c>
      <x:c r="N56" s="7" t="s">
        <x:v>124</x:v>
      </x:c>
      <x:c r="O56" s="7"/>
      <x:c r="P56" s="7"/>
      <x:c r="Q56" s="7" t="s">
        <x:v>407</x:v>
      </x:c>
      <x:c r="R56" s="7" t="s">
        <x:v>258</x:v>
      </x:c>
      <x:c r="S56" s="8" t="b">
        <x:v>0</x:v>
      </x:c>
      <x:c r="T56" s="7"/>
      <x:c r="U56" s="7"/>
      <x:c r="V56" s="7"/>
      <x:c r="W56" s="7" t="s">
        <x:v>701</x:v>
      </x:c>
      <x:c r="X56" s="7"/>
      <x:c r="Y56" s="7"/>
      <x:c r="Z56" s="7" t="str">
        <x:f t="shared" si="1"/>
      </x:c>
      <x:c r="AA56" s="7" t="n">
        <x:f>COUNTIF(assemblies!$B$2:$B$2029,A56)</x:f>
        <x:v>0</x:v>
      </x:c>
      <x:c r="AB56" s="7" t="n">
        <x:f>COUNTIF(pores!$B$2:$B$5028,A56)</x:f>
        <x:v>0</x:v>
      </x:c>
      <x:c r="AC56" s="7" t="n">
        <x:f>COUNTIF(evidence!$B$2:$B$10000,A56)</x:f>
        <x:v>0</x:v>
      </x:c>
      <x:c r="AD56" s="7" t="s">
        <x:v>702</x:v>
      </x:c>
      <x:c r="AE56" s="7" t="s">
        <x:v>703</x:v>
      </x:c>
      <x:c r="AF56" s="7" t="s">
        <x:v>411</x:v>
      </x:c>
      <x:c r="AG56" s="15"/>
    </x:row>
    <x:row r="57" ht="46.599998474121094" customHeight="1">
      <x:c r="A57" s="14" t="s">
        <x:v>704</x:v>
      </x:c>
      <x:c r="B57" s="10"/>
      <x:c r="C57" s="10" t="s">
        <x:v>137</x:v>
      </x:c>
      <x:c r="D57" s="10" t="s">
        <x:v>705</x:v>
      </x:c>
      <x:c r="E57" s="10" t="s">
        <x:v>706</x:v>
      </x:c>
      <x:c r="F57" s="10" t="s">
        <x:v>707</x:v>
      </x:c>
      <x:c r="G57" s="10">
        <x:v>1348973</x:v>
      </x:c>
      <x:c r="H57" s="12" t="s">
        <x:v>708</x:v>
      </x:c>
      <x:c r="I57" s="10"/>
      <x:c r="J57" s="10"/>
      <x:c r="K57" s="10">
        <x:v>282</x:v>
      </x:c>
      <x:c r="L57" s="10" t="s">
        <x:v>243</x:v>
      </x:c>
      <x:c r="M57" s="10" t="s">
        <x:v>123</x:v>
      </x:c>
      <x:c r="N57" s="10" t="s">
        <x:v>463</x:v>
      </x:c>
      <x:c r="O57" s="10" t="s">
        <x:v>709</x:v>
      </x:c>
      <x:c r="P57" s="10"/>
      <x:c r="Q57" s="10" t="s">
        <x:v>407</x:v>
      </x:c>
      <x:c r="R57" s="10" t="s">
        <x:v>258</x:v>
      </x:c>
      <x:c r="S57" s="11" t="b">
        <x:v>0</x:v>
      </x:c>
      <x:c r="T57" s="10"/>
      <x:c r="U57" s="10"/>
      <x:c r="V57" s="10"/>
      <x:c r="W57" s="10" t="s">
        <x:v>710</x:v>
      </x:c>
      <x:c r="X57" s="10"/>
      <x:c r="Y57" s="10"/>
      <x:c r="Z57" s="10" t="str">
        <x:f t="shared" si="1"/>
      </x:c>
      <x:c r="AA57" s="10" t="n">
        <x:f>COUNTIF(assemblies!$B$2:$B$2029,A57)</x:f>
        <x:v>0</x:v>
      </x:c>
      <x:c r="AB57" s="10" t="n">
        <x:f>COUNTIF(pores!$B$2:$B$5028,A57)</x:f>
        <x:v>0</x:v>
      </x:c>
      <x:c r="AC57" s="10" t="n">
        <x:f>COUNTIF(evidence!$B$2:$B$10000,A57)</x:f>
        <x:v>0</x:v>
      </x:c>
      <x:c r="AD57" s="10" t="s">
        <x:v>711</x:v>
      </x:c>
      <x:c r="AE57" s="10" t="s">
        <x:v>712</x:v>
      </x:c>
      <x:c r="AF57" s="10" t="s">
        <x:v>411</x:v>
      </x:c>
      <x:c r="AG57" s="16"/>
    </x:row>
    <x:row r="58" ht="73.1500015258789" customHeight="1">
      <x:c r="A58" s="13" t="s">
        <x:v>713</x:v>
      </x:c>
      <x:c r="B58" s="7" t="s">
        <x:v>714</x:v>
      </x:c>
      <x:c r="C58" s="7" t="s">
        <x:v>137</x:v>
      </x:c>
      <x:c r="D58" s="7" t="s">
        <x:v>715</x:v>
      </x:c>
      <x:c r="E58" s="7" t="s">
        <x:v>716</x:v>
      </x:c>
      <x:c r="F58" s="7" t="s">
        <x:v>717</x:v>
      </x:c>
      <x:c r="G58" s="7">
        <x:v>1465</x:v>
      </x:c>
      <x:c r="H58" s="7"/>
      <x:c r="I58" s="7"/>
      <x:c r="J58" s="7" t="s">
        <x:v>718</x:v>
      </x:c>
      <x:c r="K58" s="7">
        <x:v>280</x:v>
      </x:c>
      <x:c r="L58" s="7" t="s">
        <x:v>243</x:v>
      </x:c>
      <x:c r="M58" s="7" t="s">
        <x:v>123</x:v>
      </x:c>
      <x:c r="N58" s="7" t="s">
        <x:v>124</x:v>
      </x:c>
      <x:c r="O58" s="7"/>
      <x:c r="P58" s="7"/>
      <x:c r="Q58" s="7" t="s">
        <x:v>719</x:v>
      </x:c>
      <x:c r="R58" s="7" t="s">
        <x:v>184</x:v>
      </x:c>
      <x:c r="S58" s="8" t="b">
        <x:v>0</x:v>
      </x:c>
      <x:c r="T58" s="7"/>
      <x:c r="U58" s="7" t="s">
        <x:v>720</x:v>
      </x:c>
      <x:c r="V58" s="7"/>
      <x:c r="W58" s="7" t="s">
        <x:v>721</x:v>
      </x:c>
      <x:c r="X58" s="7"/>
      <x:c r="Y58" s="7"/>
      <x:c r="Z58" s="7" t="str">
        <x:f t="shared" si="1"/>
      </x:c>
      <x:c r="AA58" s="7" t="n">
        <x:f>COUNTIF(assemblies!$B$2:$B$2029,A58)</x:f>
        <x:v>1</x:v>
      </x:c>
      <x:c r="AB58" s="7" t="n">
        <x:f>COUNTIF(pores!$B$2:$B$5028,A58)</x:f>
        <x:v>0</x:v>
      </x:c>
      <x:c r="AC58" s="7" t="n">
        <x:f>COUNTIF(evidence!$B$2:$B$10000,A58)</x:f>
        <x:v>1</x:v>
      </x:c>
      <x:c r="AD58" s="7" t="s">
        <x:v>722</x:v>
      </x:c>
      <x:c r="AE58" s="7" t="s">
        <x:v>723</x:v>
      </x:c>
      <x:c r="AF58" s="7" t="s">
        <x:v>411</x:v>
      </x:c>
      <x:c r="AG58" s="15" t="s">
        <x:v>724</x:v>
      </x:c>
    </x:row>
    <x:row r="59" ht="59.95000076293945" customHeight="1">
      <x:c r="A59" s="14" t="s">
        <x:v>725</x:v>
      </x:c>
      <x:c r="B59" s="10" t="s">
        <x:v>726</x:v>
      </x:c>
      <x:c r="C59" s="10" t="s">
        <x:v>137</x:v>
      </x:c>
      <x:c r="D59" s="10" t="s">
        <x:v>727</x:v>
      </x:c>
      <x:c r="E59" s="10" t="s">
        <x:v>728</x:v>
      </x:c>
      <x:c r="F59" s="10" t="s">
        <x:v>342</x:v>
      </x:c>
      <x:c r="G59" s="10">
        <x:v>37919</x:v>
      </x:c>
      <x:c r="H59" s="10"/>
      <x:c r="I59" s="10"/>
      <x:c r="J59" s="10" t="s">
        <x:v>729</x:v>
      </x:c>
      <x:c r="K59" s="10">
        <x:v>268</x:v>
      </x:c>
      <x:c r="L59" s="10" t="s">
        <x:v>243</x:v>
      </x:c>
      <x:c r="M59" s="10" t="s">
        <x:v>123</x:v>
      </x:c>
      <x:c r="N59" s="10" t="s">
        <x:v>124</x:v>
      </x:c>
      <x:c r="O59" s="10"/>
      <x:c r="P59" s="10"/>
      <x:c r="Q59" s="10" t="s">
        <x:v>407</x:v>
      </x:c>
      <x:c r="R59" s="10" t="s">
        <x:v>258</x:v>
      </x:c>
      <x:c r="S59" s="11" t="b">
        <x:v>0</x:v>
      </x:c>
      <x:c r="T59" s="10"/>
      <x:c r="U59" s="10"/>
      <x:c r="V59" s="10"/>
      <x:c r="W59" s="10" t="s">
        <x:v>730</x:v>
      </x:c>
      <x:c r="X59" s="10"/>
      <x:c r="Y59" s="10"/>
      <x:c r="Z59" s="10" t="str">
        <x:f t="shared" si="1"/>
      </x:c>
      <x:c r="AA59" s="10" t="n">
        <x:f>COUNTIF(assemblies!$B$2:$B$2029,A59)</x:f>
        <x:v>0</x:v>
      </x:c>
      <x:c r="AB59" s="10" t="n">
        <x:f>COUNTIF(pores!$B$2:$B$5028,A59)</x:f>
        <x:v>0</x:v>
      </x:c>
      <x:c r="AC59" s="10" t="n">
        <x:f>COUNTIF(evidence!$B$2:$B$10000,A59)</x:f>
        <x:v>0</x:v>
      </x:c>
      <x:c r="AD59" s="10" t="s">
        <x:v>731</x:v>
      </x:c>
      <x:c r="AE59" s="10" t="s">
        <x:v>732</x:v>
      </x:c>
      <x:c r="AF59" s="10" t="s">
        <x:v>411</x:v>
      </x:c>
      <x:c r="AG59" s="16" t="s">
        <x:v>733</x:v>
      </x:c>
    </x:row>
    <x:row r="60" ht="46.599998474121094" customHeight="1">
      <x:c r="A60" s="13" t="s">
        <x:v>734</x:v>
      </x:c>
      <x:c r="B60" s="7" t="s">
        <x:v>735</x:v>
      </x:c>
      <x:c r="C60" s="7" t="s">
        <x:v>137</x:v>
      </x:c>
      <x:c r="D60" s="7" t="s">
        <x:v>736</x:v>
      </x:c>
      <x:c r="E60" s="7" t="s">
        <x:v>737</x:v>
      </x:c>
      <x:c r="F60" s="7" t="s">
        <x:v>738</x:v>
      </x:c>
      <x:c r="G60" s="7">
        <x:v>1194083</x:v>
      </x:c>
      <x:c r="H60" s="7" t="s">
        <x:v>298</x:v>
      </x:c>
      <x:c r="I60" s="7"/>
      <x:c r="J60" s="7" t="s">
        <x:v>739</x:v>
      </x:c>
      <x:c r="K60" s="7">
        <x:v>271</x:v>
      </x:c>
      <x:c r="L60" s="7" t="s">
        <x:v>243</x:v>
      </x:c>
      <x:c r="M60" s="7" t="s">
        <x:v>123</x:v>
      </x:c>
      <x:c r="N60" s="7" t="s">
        <x:v>124</x:v>
      </x:c>
      <x:c r="O60" s="7"/>
      <x:c r="P60" s="7"/>
      <x:c r="Q60" s="7" t="s">
        <x:v>407</x:v>
      </x:c>
      <x:c r="R60" s="7" t="s">
        <x:v>258</x:v>
      </x:c>
      <x:c r="S60" s="8" t="b">
        <x:v>0</x:v>
      </x:c>
      <x:c r="T60" s="7"/>
      <x:c r="U60" s="7"/>
      <x:c r="V60" s="7"/>
      <x:c r="W60" s="7" t="s">
        <x:v>740</x:v>
      </x:c>
      <x:c r="X60" s="7"/>
      <x:c r="Y60" s="7"/>
      <x:c r="Z60" s="7" t="str">
        <x:f t="shared" si="1"/>
      </x:c>
      <x:c r="AA60" s="7" t="n">
        <x:f>COUNTIF(assemblies!$B$2:$B$2029,A60)</x:f>
        <x:v>0</x:v>
      </x:c>
      <x:c r="AB60" s="7" t="n">
        <x:f>COUNTIF(pores!$B$2:$B$5028,A60)</x:f>
        <x:v>0</x:v>
      </x:c>
      <x:c r="AC60" s="7" t="n">
        <x:f>COUNTIF(evidence!$B$2:$B$10000,A60)</x:f>
        <x:v>0</x:v>
      </x:c>
      <x:c r="AD60" s="7" t="s">
        <x:v>741</x:v>
      </x:c>
      <x:c r="AE60" s="7" t="s">
        <x:v>742</x:v>
      </x:c>
      <x:c r="AF60" s="7" t="s">
        <x:v>411</x:v>
      </x:c>
      <x:c r="AG60" s="15"/>
    </x:row>
    <x:row r="61" ht="46.599998474121094" customHeight="1">
      <x:c r="A61" s="14" t="s">
        <x:v>743</x:v>
      </x:c>
      <x:c r="B61" s="10" t="s">
        <x:v>744</x:v>
      </x:c>
      <x:c r="C61" s="10" t="s">
        <x:v>137</x:v>
      </x:c>
      <x:c r="D61" s="10" t="s">
        <x:v>745</x:v>
      </x:c>
      <x:c r="E61" s="10" t="s">
        <x:v>746</x:v>
      </x:c>
      <x:c r="F61" s="10" t="s">
        <x:v>747</x:v>
      </x:c>
      <x:c r="G61" s="10">
        <x:v>1348852</x:v>
      </x:c>
      <x:c r="H61" s="10"/>
      <x:c r="I61" s="10"/>
      <x:c r="J61" s="10" t="s">
        <x:v>748</x:v>
      </x:c>
      <x:c r="K61" s="10">
        <x:v>267</x:v>
      </x:c>
      <x:c r="L61" s="10" t="s">
        <x:v>243</x:v>
      </x:c>
      <x:c r="M61" s="10" t="s">
        <x:v>123</x:v>
      </x:c>
      <x:c r="N61" s="10" t="s">
        <x:v>124</x:v>
      </x:c>
      <x:c r="O61" s="10"/>
      <x:c r="P61" s="10"/>
      <x:c r="Q61" s="10" t="s">
        <x:v>407</x:v>
      </x:c>
      <x:c r="R61" s="10" t="s">
        <x:v>258</x:v>
      </x:c>
      <x:c r="S61" s="11" t="b">
        <x:v>0</x:v>
      </x:c>
      <x:c r="T61" s="10"/>
      <x:c r="U61" s="10"/>
      <x:c r="V61" s="10"/>
      <x:c r="W61" s="10" t="s">
        <x:v>749</x:v>
      </x:c>
      <x:c r="X61" s="10"/>
      <x:c r="Y61" s="10"/>
      <x:c r="Z61" s="10" t="str">
        <x:f t="shared" si="1"/>
      </x:c>
      <x:c r="AA61" s="10" t="n">
        <x:f>COUNTIF(assemblies!$B$2:$B$2029,A61)</x:f>
        <x:v>0</x:v>
      </x:c>
      <x:c r="AB61" s="10" t="n">
        <x:f>COUNTIF(pores!$B$2:$B$5028,A61)</x:f>
        <x:v>0</x:v>
      </x:c>
      <x:c r="AC61" s="10" t="n">
        <x:f>COUNTIF(evidence!$B$2:$B$10000,A61)</x:f>
        <x:v>0</x:v>
      </x:c>
      <x:c r="AD61" s="10" t="s">
        <x:v>750</x:v>
      </x:c>
      <x:c r="AE61" s="10" t="s">
        <x:v>751</x:v>
      </x:c>
      <x:c r="AF61" s="10" t="s">
        <x:v>411</x:v>
      </x:c>
      <x:c r="AG61" s="16"/>
    </x:row>
    <x:row r="62" ht="59.95000076293945" customHeight="1">
      <x:c r="A62" s="13" t="s">
        <x:v>752</x:v>
      </x:c>
      <x:c r="B62" s="7" t="s">
        <x:v>753</x:v>
      </x:c>
      <x:c r="C62" s="7" t="s">
        <x:v>137</x:v>
      </x:c>
      <x:c r="D62" s="7" t="s">
        <x:v>754</x:v>
      </x:c>
      <x:c r="E62" s="7" t="s">
        <x:v>755</x:v>
      </x:c>
      <x:c r="F62" s="7" t="s">
        <x:v>453</x:v>
      </x:c>
      <x:c r="G62" s="7">
        <x:v>40318</x:v>
      </x:c>
      <x:c r="H62" s="7"/>
      <x:c r="I62" s="7"/>
      <x:c r="J62" s="7" t="s">
        <x:v>756</x:v>
      </x:c>
      <x:c r="K62" s="7">
        <x:v>265</x:v>
      </x:c>
      <x:c r="L62" s="7" t="s">
        <x:v>243</x:v>
      </x:c>
      <x:c r="M62" s="7" t="s">
        <x:v>123</x:v>
      </x:c>
      <x:c r="N62" s="7" t="s">
        <x:v>124</x:v>
      </x:c>
      <x:c r="O62" s="7"/>
      <x:c r="P62" s="7"/>
      <x:c r="Q62" s="7" t="s">
        <x:v>407</x:v>
      </x:c>
      <x:c r="R62" s="7" t="s">
        <x:v>258</x:v>
      </x:c>
      <x:c r="S62" s="8" t="b">
        <x:v>0</x:v>
      </x:c>
      <x:c r="T62" s="7"/>
      <x:c r="U62" s="7"/>
      <x:c r="V62" s="7"/>
      <x:c r="W62" s="7" t="s">
        <x:v>757</x:v>
      </x:c>
      <x:c r="X62" s="7"/>
      <x:c r="Y62" s="7"/>
      <x:c r="Z62" s="7" t="str">
        <x:f t="shared" si="1"/>
      </x:c>
      <x:c r="AA62" s="7" t="n">
        <x:f>COUNTIF(assemblies!$B$2:$B$2029,A62)</x:f>
        <x:v>0</x:v>
      </x:c>
      <x:c r="AB62" s="7" t="n">
        <x:f>COUNTIF(pores!$B$2:$B$5028,A62)</x:f>
        <x:v>0</x:v>
      </x:c>
      <x:c r="AC62" s="7" t="n">
        <x:f>COUNTIF(evidence!$B$2:$B$10000,A62)</x:f>
        <x:v>0</x:v>
      </x:c>
      <x:c r="AD62" s="7" t="s">
        <x:v>758</x:v>
      </x:c>
      <x:c r="AE62" s="7" t="s">
        <x:v>759</x:v>
      </x:c>
      <x:c r="AF62" s="7" t="s">
        <x:v>411</x:v>
      </x:c>
      <x:c r="AG62" s="15"/>
    </x:row>
    <x:row r="63" ht="46.599998474121094" customHeight="1">
      <x:c r="A63" s="14" t="s">
        <x:v>760</x:v>
      </x:c>
      <x:c r="B63" s="10" t="s">
        <x:v>761</x:v>
      </x:c>
      <x:c r="C63" s="10" t="s">
        <x:v>137</x:v>
      </x:c>
      <x:c r="D63" s="10" t="s">
        <x:v>762</x:v>
      </x:c>
      <x:c r="E63" s="10" t="s">
        <x:v>763</x:v>
      </x:c>
      <x:c r="F63" s="10" t="s">
        <x:v>453</x:v>
      </x:c>
      <x:c r="G63" s="10">
        <x:v>362257</x:v>
      </x:c>
      <x:c r="H63" s="10"/>
      <x:c r="I63" s="10"/>
      <x:c r="J63" s="10" t="s">
        <x:v>764</x:v>
      </x:c>
      <x:c r="K63" s="10">
        <x:v>271</x:v>
      </x:c>
      <x:c r="L63" s="10" t="s">
        <x:v>243</x:v>
      </x:c>
      <x:c r="M63" s="10" t="s">
        <x:v>123</x:v>
      </x:c>
      <x:c r="N63" s="10" t="s">
        <x:v>124</x:v>
      </x:c>
      <x:c r="O63" s="10"/>
      <x:c r="P63" s="10"/>
      <x:c r="Q63" s="10" t="s">
        <x:v>407</x:v>
      </x:c>
      <x:c r="R63" s="10" t="s">
        <x:v>258</x:v>
      </x:c>
      <x:c r="S63" s="11" t="b">
        <x:v>0</x:v>
      </x:c>
      <x:c r="T63" s="10"/>
      <x:c r="U63" s="10"/>
      <x:c r="V63" s="10"/>
      <x:c r="W63" s="10" t="s">
        <x:v>765</x:v>
      </x:c>
      <x:c r="X63" s="10"/>
      <x:c r="Y63" s="10"/>
      <x:c r="Z63" s="10" t="str">
        <x:f t="shared" si="1"/>
      </x:c>
      <x:c r="AA63" s="10" t="n">
        <x:f>COUNTIF(assemblies!$B$2:$B$2029,A63)</x:f>
        <x:v>0</x:v>
      </x:c>
      <x:c r="AB63" s="10" t="n">
        <x:f>COUNTIF(pores!$B$2:$B$5028,A63)</x:f>
        <x:v>0</x:v>
      </x:c>
      <x:c r="AC63" s="10" t="n">
        <x:f>COUNTIF(evidence!$B$2:$B$10000,A63)</x:f>
        <x:v>0</x:v>
      </x:c>
      <x:c r="AD63" s="10" t="s">
        <x:v>766</x:v>
      </x:c>
      <x:c r="AE63" s="10" t="s">
        <x:v>767</x:v>
      </x:c>
      <x:c r="AF63" s="10" t="s">
        <x:v>411</x:v>
      </x:c>
      <x:c r="AG63" s="16"/>
    </x:row>
    <x:row r="64" ht="46.599998474121094" customHeight="1">
      <x:c r="A64" s="13" t="s">
        <x:v>768</x:v>
      </x:c>
      <x:c r="B64" s="7" t="s">
        <x:v>769</x:v>
      </x:c>
      <x:c r="C64" s="7" t="s">
        <x:v>137</x:v>
      </x:c>
      <x:c r="D64" s="7" t="s">
        <x:v>770</x:v>
      </x:c>
      <x:c r="E64" s="7" t="s">
        <x:v>771</x:v>
      </x:c>
      <x:c r="F64" s="7" t="s">
        <x:v>772</x:v>
      </x:c>
      <x:c r="G64" s="7">
        <x:v>37332</x:v>
      </x:c>
      <x:c r="H64" s="7"/>
      <x:c r="I64" s="7"/>
      <x:c r="J64" s="7" t="s">
        <x:v>773</x:v>
      </x:c>
      <x:c r="K64" s="7">
        <x:v>265</x:v>
      </x:c>
      <x:c r="L64" s="7" t="s">
        <x:v>243</x:v>
      </x:c>
      <x:c r="M64" s="7" t="s">
        <x:v>123</x:v>
      </x:c>
      <x:c r="N64" s="7" t="s">
        <x:v>124</x:v>
      </x:c>
      <x:c r="O64" s="7"/>
      <x:c r="P64" s="7"/>
      <x:c r="Q64" s="7" t="s">
        <x:v>407</x:v>
      </x:c>
      <x:c r="R64" s="7" t="s">
        <x:v>258</x:v>
      </x:c>
      <x:c r="S64" s="8" t="b">
        <x:v>0</x:v>
      </x:c>
      <x:c r="T64" s="7"/>
      <x:c r="U64" s="7"/>
      <x:c r="V64" s="7"/>
      <x:c r="W64" s="7" t="s">
        <x:v>774</x:v>
      </x:c>
      <x:c r="X64" s="7"/>
      <x:c r="Y64" s="7"/>
      <x:c r="Z64" s="7" t="str">
        <x:f t="shared" si="1"/>
      </x:c>
      <x:c r="AA64" s="7" t="n">
        <x:f>COUNTIF(assemblies!$B$2:$B$2029,A64)</x:f>
        <x:v>0</x:v>
      </x:c>
      <x:c r="AB64" s="7" t="n">
        <x:f>COUNTIF(pores!$B$2:$B$5028,A64)</x:f>
        <x:v>0</x:v>
      </x:c>
      <x:c r="AC64" s="7" t="n">
        <x:f>COUNTIF(evidence!$B$2:$B$10000,A64)</x:f>
        <x:v>0</x:v>
      </x:c>
      <x:c r="AD64" s="7" t="s">
        <x:v>775</x:v>
      </x:c>
      <x:c r="AE64" s="7" t="s">
        <x:v>776</x:v>
      </x:c>
      <x:c r="AF64" s="7" t="s">
        <x:v>411</x:v>
      </x:c>
      <x:c r="AG64" s="15"/>
    </x:row>
    <x:row r="65" ht="46.599998474121094" customHeight="1">
      <x:c r="A65" s="14" t="s">
        <x:v>777</x:v>
      </x:c>
      <x:c r="B65" s="10" t="s">
        <x:v>778</x:v>
      </x:c>
      <x:c r="C65" s="10" t="s">
        <x:v>137</x:v>
      </x:c>
      <x:c r="D65" s="10" t="s">
        <x:v>225</x:v>
      </x:c>
      <x:c r="E65" s="10" t="s">
        <x:v>779</x:v>
      </x:c>
      <x:c r="F65" s="10" t="s">
        <x:v>227</x:v>
      </x:c>
      <x:c r="G65" s="10">
        <x:v>1703</x:v>
      </x:c>
      <x:c r="H65" s="10"/>
      <x:c r="I65" s="10"/>
      <x:c r="J65" s="10" t="s">
        <x:v>780</x:v>
      </x:c>
      <x:c r="K65" s="10">
        <x:v>266</x:v>
      </x:c>
      <x:c r="L65" s="10" t="s">
        <x:v>243</x:v>
      </x:c>
      <x:c r="M65" s="10" t="s">
        <x:v>123</x:v>
      </x:c>
      <x:c r="N65" s="10" t="s">
        <x:v>124</x:v>
      </x:c>
      <x:c r="O65" s="10"/>
      <x:c r="P65" s="10"/>
      <x:c r="Q65" s="10" t="s">
        <x:v>407</x:v>
      </x:c>
      <x:c r="R65" s="10" t="s">
        <x:v>258</x:v>
      </x:c>
      <x:c r="S65" s="11" t="b">
        <x:v>0</x:v>
      </x:c>
      <x:c r="T65" s="10"/>
      <x:c r="U65" s="10"/>
      <x:c r="V65" s="10"/>
      <x:c r="W65" s="10" t="s">
        <x:v>781</x:v>
      </x:c>
      <x:c r="X65" s="10"/>
      <x:c r="Y65" s="10"/>
      <x:c r="Z65" s="10" t="str">
        <x:f t="shared" si="1"/>
      </x:c>
      <x:c r="AA65" s="10" t="n">
        <x:f>COUNTIF(assemblies!$B$2:$B$2029,A65)</x:f>
        <x:v>0</x:v>
      </x:c>
      <x:c r="AB65" s="10" t="n">
        <x:f>COUNTIF(pores!$B$2:$B$5028,A65)</x:f>
        <x:v>0</x:v>
      </x:c>
      <x:c r="AC65" s="10" t="n">
        <x:f>COUNTIF(evidence!$B$2:$B$10000,A65)</x:f>
        <x:v>0</x:v>
      </x:c>
      <x:c r="AD65" s="10" t="s">
        <x:v>782</x:v>
      </x:c>
      <x:c r="AE65" s="10" t="s">
        <x:v>783</x:v>
      </x:c>
      <x:c r="AF65" s="10" t="s">
        <x:v>411</x:v>
      </x:c>
      <x:c r="AG65" s="16"/>
    </x:row>
    <x:row r="66" ht="46.599998474121094" customHeight="1">
      <x:c r="A66" s="13" t="s">
        <x:v>784</x:v>
      </x:c>
      <x:c r="B66" s="7" t="s">
        <x:v>785</x:v>
      </x:c>
      <x:c r="C66" s="7" t="s">
        <x:v>137</x:v>
      </x:c>
      <x:c r="D66" s="7" t="s">
        <x:v>786</x:v>
      </x:c>
      <x:c r="E66" s="7" t="s">
        <x:v>787</x:v>
      </x:c>
      <x:c r="F66" s="7" t="s">
        <x:v>690</x:v>
      </x:c>
      <x:c r="G66" s="7">
        <x:v>2064</x:v>
      </x:c>
      <x:c r="H66" s="7"/>
      <x:c r="I66" s="7"/>
      <x:c r="J66" s="7" t="s">
        <x:v>788</x:v>
      </x:c>
      <x:c r="K66" s="7">
        <x:v>266</x:v>
      </x:c>
      <x:c r="L66" s="7" t="s">
        <x:v>243</x:v>
      </x:c>
      <x:c r="M66" s="7" t="s">
        <x:v>123</x:v>
      </x:c>
      <x:c r="N66" s="7" t="s">
        <x:v>124</x:v>
      </x:c>
      <x:c r="O66" s="7"/>
      <x:c r="P66" s="7"/>
      <x:c r="Q66" s="7" t="s">
        <x:v>407</x:v>
      </x:c>
      <x:c r="R66" s="7" t="s">
        <x:v>258</x:v>
      </x:c>
      <x:c r="S66" s="8" t="b">
        <x:v>0</x:v>
      </x:c>
      <x:c r="T66" s="7"/>
      <x:c r="U66" s="7"/>
      <x:c r="V66" s="7"/>
      <x:c r="W66" s="7" t="s">
        <x:v>789</x:v>
      </x:c>
      <x:c r="X66" s="7"/>
      <x:c r="Y66" s="7"/>
      <x:c r="Z66" s="7" t="str">
        <x:f t="shared" ref="Z66:Z75" si="2">IF(X66="","",LEN(X66)-LEN(SUBSTITUTE(X66,";",""))+1)</x:f>
      </x:c>
      <x:c r="AA66" s="7" t="n">
        <x:f>COUNTIF(assemblies!$B$2:$B$2029,A66)</x:f>
        <x:v>0</x:v>
      </x:c>
      <x:c r="AB66" s="7" t="n">
        <x:f>COUNTIF(pores!$B$2:$B$5028,A66)</x:f>
        <x:v>0</x:v>
      </x:c>
      <x:c r="AC66" s="7" t="n">
        <x:f>COUNTIF(evidence!$B$2:$B$10000,A66)</x:f>
        <x:v>0</x:v>
      </x:c>
      <x:c r="AD66" s="7" t="s">
        <x:v>790</x:v>
      </x:c>
      <x:c r="AE66" s="7" t="s">
        <x:v>791</x:v>
      </x:c>
      <x:c r="AF66" s="7" t="s">
        <x:v>411</x:v>
      </x:c>
      <x:c r="AG66" s="15"/>
    </x:row>
    <x:row r="67" ht="46.599998474121094" customHeight="1">
      <x:c r="A67" s="14" t="s">
        <x:v>792</x:v>
      </x:c>
      <x:c r="B67" s="10" t="s">
        <x:v>793</x:v>
      </x:c>
      <x:c r="C67" s="10" t="s">
        <x:v>137</x:v>
      </x:c>
      <x:c r="D67" s="10" t="s">
        <x:v>794</x:v>
      </x:c>
      <x:c r="E67" s="10" t="s">
        <x:v>795</x:v>
      </x:c>
      <x:c r="F67" s="10" t="s">
        <x:v>271</x:v>
      </x:c>
      <x:c r="G67" s="10">
        <x:v>280871</x:v>
      </x:c>
      <x:c r="H67" s="10"/>
      <x:c r="I67" s="10"/>
      <x:c r="J67" s="10" t="s">
        <x:v>796</x:v>
      </x:c>
      <x:c r="K67" s="10">
        <x:v>265</x:v>
      </x:c>
      <x:c r="L67" s="10" t="s">
        <x:v>243</x:v>
      </x:c>
      <x:c r="M67" s="10" t="s">
        <x:v>123</x:v>
      </x:c>
      <x:c r="N67" s="10" t="s">
        <x:v>124</x:v>
      </x:c>
      <x:c r="O67" s="10"/>
      <x:c r="P67" s="10"/>
      <x:c r="Q67" s="10" t="s">
        <x:v>407</x:v>
      </x:c>
      <x:c r="R67" s="10" t="s">
        <x:v>258</x:v>
      </x:c>
      <x:c r="S67" s="11" t="b">
        <x:v>0</x:v>
      </x:c>
      <x:c r="T67" s="10"/>
      <x:c r="U67" s="10"/>
      <x:c r="V67" s="10"/>
      <x:c r="W67" s="10" t="s">
        <x:v>797</x:v>
      </x:c>
      <x:c r="X67" s="10"/>
      <x:c r="Y67" s="10"/>
      <x:c r="Z67" s="10" t="str">
        <x:f t="shared" si="2"/>
      </x:c>
      <x:c r="AA67" s="10" t="n">
        <x:f>COUNTIF(assemblies!$B$2:$B$2029,A67)</x:f>
        <x:v>0</x:v>
      </x:c>
      <x:c r="AB67" s="10" t="n">
        <x:f>COUNTIF(pores!$B$2:$B$5028,A67)</x:f>
        <x:v>0</x:v>
      </x:c>
      <x:c r="AC67" s="10" t="n">
        <x:f>COUNTIF(evidence!$B$2:$B$10000,A67)</x:f>
        <x:v>0</x:v>
      </x:c>
      <x:c r="AD67" s="10" t="s">
        <x:v>798</x:v>
      </x:c>
      <x:c r="AE67" s="10" t="s">
        <x:v>799</x:v>
      </x:c>
      <x:c r="AF67" s="10" t="s">
        <x:v>411</x:v>
      </x:c>
      <x:c r="AG67" s="16"/>
    </x:row>
    <x:row r="68" ht="46.599998474121094" customHeight="1">
      <x:c r="A68" s="13" t="s">
        <x:v>800</x:v>
      </x:c>
      <x:c r="B68" s="7" t="s">
        <x:v>801</x:v>
      </x:c>
      <x:c r="C68" s="7" t="s">
        <x:v>137</x:v>
      </x:c>
      <x:c r="D68" s="7" t="s">
        <x:v>802</x:v>
      </x:c>
      <x:c r="E68" s="7" t="s">
        <x:v>803</x:v>
      </x:c>
      <x:c r="F68" s="7" t="s">
        <x:v>482</x:v>
      </x:c>
      <x:c r="G68" s="7">
        <x:v>47500</x:v>
      </x:c>
      <x:c r="H68" s="7"/>
      <x:c r="I68" s="7"/>
      <x:c r="J68" s="7" t="s">
        <x:v>804</x:v>
      </x:c>
      <x:c r="K68" s="7">
        <x:v>284</x:v>
      </x:c>
      <x:c r="L68" s="7" t="s">
        <x:v>243</x:v>
      </x:c>
      <x:c r="M68" s="7" t="s">
        <x:v>123</x:v>
      </x:c>
      <x:c r="N68" s="7" t="s">
        <x:v>124</x:v>
      </x:c>
      <x:c r="O68" s="7"/>
      <x:c r="P68" s="7"/>
      <x:c r="Q68" s="7" t="s">
        <x:v>407</x:v>
      </x:c>
      <x:c r="R68" s="7" t="s">
        <x:v>258</x:v>
      </x:c>
      <x:c r="S68" s="8" t="b">
        <x:v>0</x:v>
      </x:c>
      <x:c r="T68" s="7"/>
      <x:c r="U68" s="7"/>
      <x:c r="V68" s="7"/>
      <x:c r="W68" s="7" t="s">
        <x:v>805</x:v>
      </x:c>
      <x:c r="X68" s="7"/>
      <x:c r="Y68" s="7"/>
      <x:c r="Z68" s="7" t="str">
        <x:f t="shared" si="2"/>
      </x:c>
      <x:c r="AA68" s="7" t="n">
        <x:f>COUNTIF(assemblies!$B$2:$B$2029,A68)</x:f>
        <x:v>0</x:v>
      </x:c>
      <x:c r="AB68" s="7" t="n">
        <x:f>COUNTIF(pores!$B$2:$B$5028,A68)</x:f>
        <x:v>0</x:v>
      </x:c>
      <x:c r="AC68" s="7" t="n">
        <x:f>COUNTIF(evidence!$B$2:$B$10000,A68)</x:f>
        <x:v>0</x:v>
      </x:c>
      <x:c r="AD68" s="7" t="s">
        <x:v>806</x:v>
      </x:c>
      <x:c r="AE68" s="7" t="s">
        <x:v>807</x:v>
      </x:c>
      <x:c r="AF68" s="7" t="s">
        <x:v>411</x:v>
      </x:c>
      <x:c r="AG68" s="15"/>
    </x:row>
    <x:row r="69" ht="46.599998474121094" customHeight="1">
      <x:c r="A69" s="14" t="s">
        <x:v>808</x:v>
      </x:c>
      <x:c r="B69" s="10" t="s">
        <x:v>809</x:v>
      </x:c>
      <x:c r="C69" s="10" t="s">
        <x:v>137</x:v>
      </x:c>
      <x:c r="D69" s="10" t="s">
        <x:v>810</x:v>
      </x:c>
      <x:c r="E69" s="10" t="s">
        <x:v>811</x:v>
      </x:c>
      <x:c r="F69" s="10" t="s">
        <x:v>812</x:v>
      </x:c>
      <x:c r="G69" s="10">
        <x:v>1126833</x:v>
      </x:c>
      <x:c r="H69" s="10"/>
      <x:c r="I69" s="10"/>
      <x:c r="J69" s="10" t="s">
        <x:v>813</x:v>
      </x:c>
      <x:c r="K69" s="10">
        <x:v>281</x:v>
      </x:c>
      <x:c r="L69" s="10" t="s">
        <x:v>243</x:v>
      </x:c>
      <x:c r="M69" s="10" t="s">
        <x:v>123</x:v>
      </x:c>
      <x:c r="N69" s="10" t="s">
        <x:v>124</x:v>
      </x:c>
      <x:c r="O69" s="10"/>
      <x:c r="P69" s="10"/>
      <x:c r="Q69" s="10" t="s">
        <x:v>407</x:v>
      </x:c>
      <x:c r="R69" s="10" t="s">
        <x:v>258</x:v>
      </x:c>
      <x:c r="S69" s="11" t="b">
        <x:v>0</x:v>
      </x:c>
      <x:c r="T69" s="10"/>
      <x:c r="U69" s="10"/>
      <x:c r="V69" s="10"/>
      <x:c r="W69" s="10" t="s">
        <x:v>814</x:v>
      </x:c>
      <x:c r="X69" s="10"/>
      <x:c r="Y69" s="10"/>
      <x:c r="Z69" s="10" t="str">
        <x:f t="shared" si="2"/>
      </x:c>
      <x:c r="AA69" s="10" t="n">
        <x:f>COUNTIF(assemblies!$B$2:$B$2029,A69)</x:f>
        <x:v>0</x:v>
      </x:c>
      <x:c r="AB69" s="10" t="n">
        <x:f>COUNTIF(pores!$B$2:$B$5028,A69)</x:f>
        <x:v>0</x:v>
      </x:c>
      <x:c r="AC69" s="10" t="n">
        <x:f>COUNTIF(evidence!$B$2:$B$10000,A69)</x:f>
        <x:v>0</x:v>
      </x:c>
      <x:c r="AD69" s="10" t="s">
        <x:v>815</x:v>
      </x:c>
      <x:c r="AE69" s="10" t="s">
        <x:v>816</x:v>
      </x:c>
      <x:c r="AF69" s="10" t="s">
        <x:v>411</x:v>
      </x:c>
      <x:c r="AG69" s="16"/>
    </x:row>
    <x:row r="70" ht="46.599998474121094" customHeight="1">
      <x:c r="A70" s="13" t="s">
        <x:v>817</x:v>
      </x:c>
      <x:c r="B70" s="7" t="s">
        <x:v>818</x:v>
      </x:c>
      <x:c r="C70" s="7" t="s">
        <x:v>137</x:v>
      </x:c>
      <x:c r="D70" s="7" t="s">
        <x:v>819</x:v>
      </x:c>
      <x:c r="E70" s="7" t="s">
        <x:v>820</x:v>
      </x:c>
      <x:c r="F70" s="7" t="s">
        <x:v>821</x:v>
      </x:c>
      <x:c r="G70" s="7">
        <x:v>1856</x:v>
      </x:c>
      <x:c r="H70" s="7"/>
      <x:c r="I70" s="7"/>
      <x:c r="J70" s="7" t="s">
        <x:v>822</x:v>
      </x:c>
      <x:c r="K70" s="7">
        <x:v>272</x:v>
      </x:c>
      <x:c r="L70" s="7" t="s">
        <x:v>243</x:v>
      </x:c>
      <x:c r="M70" s="7" t="s">
        <x:v>123</x:v>
      </x:c>
      <x:c r="N70" s="7" t="s">
        <x:v>124</x:v>
      </x:c>
      <x:c r="O70" s="7"/>
      <x:c r="P70" s="7"/>
      <x:c r="Q70" s="7" t="s">
        <x:v>407</x:v>
      </x:c>
      <x:c r="R70" s="7" t="s">
        <x:v>258</x:v>
      </x:c>
      <x:c r="S70" s="8" t="b">
        <x:v>0</x:v>
      </x:c>
      <x:c r="T70" s="7"/>
      <x:c r="U70" s="7"/>
      <x:c r="V70" s="7"/>
      <x:c r="W70" s="7" t="s">
        <x:v>823</x:v>
      </x:c>
      <x:c r="X70" s="7"/>
      <x:c r="Y70" s="7"/>
      <x:c r="Z70" s="7" t="str">
        <x:f t="shared" si="2"/>
      </x:c>
      <x:c r="AA70" s="7" t="n">
        <x:f>COUNTIF(assemblies!$B$2:$B$2029,A70)</x:f>
        <x:v>0</x:v>
      </x:c>
      <x:c r="AB70" s="7" t="n">
        <x:f>COUNTIF(pores!$B$2:$B$5028,A70)</x:f>
        <x:v>0</x:v>
      </x:c>
      <x:c r="AC70" s="7" t="n">
        <x:f>COUNTIF(evidence!$B$2:$B$10000,A70)</x:f>
        <x:v>0</x:v>
      </x:c>
      <x:c r="AD70" s="7" t="s">
        <x:v>824</x:v>
      </x:c>
      <x:c r="AE70" s="7" t="s">
        <x:v>825</x:v>
      </x:c>
      <x:c r="AF70" s="7" t="s">
        <x:v>411</x:v>
      </x:c>
      <x:c r="AG70" s="15"/>
    </x:row>
    <x:row r="71" ht="46.599998474121094" customHeight="1">
      <x:c r="A71" s="14" t="s">
        <x:v>826</x:v>
      </x:c>
      <x:c r="B71" s="10" t="s">
        <x:v>827</x:v>
      </x:c>
      <x:c r="C71" s="10" t="s">
        <x:v>137</x:v>
      </x:c>
      <x:c r="D71" s="10" t="s">
        <x:v>828</x:v>
      </x:c>
      <x:c r="E71" s="10" t="s">
        <x:v>829</x:v>
      </x:c>
      <x:c r="F71" s="10" t="s">
        <x:v>830</x:v>
      </x:c>
      <x:c r="G71" s="10">
        <x:v>2074</x:v>
      </x:c>
      <x:c r="H71" s="10" t="s">
        <x:v>298</x:v>
      </x:c>
      <x:c r="I71" s="10"/>
      <x:c r="J71" s="10" t="s">
        <x:v>831</x:v>
      </x:c>
      <x:c r="K71" s="10">
        <x:v>273</x:v>
      </x:c>
      <x:c r="L71" s="10" t="s">
        <x:v>243</x:v>
      </x:c>
      <x:c r="M71" s="10" t="s">
        <x:v>123</x:v>
      </x:c>
      <x:c r="N71" s="10" t="s">
        <x:v>124</x:v>
      </x:c>
      <x:c r="O71" s="10"/>
      <x:c r="P71" s="10"/>
      <x:c r="Q71" s="10" t="s">
        <x:v>407</x:v>
      </x:c>
      <x:c r="R71" s="10" t="s">
        <x:v>258</x:v>
      </x:c>
      <x:c r="S71" s="11" t="b">
        <x:v>0</x:v>
      </x:c>
      <x:c r="T71" s="10"/>
      <x:c r="U71" s="10"/>
      <x:c r="V71" s="10"/>
      <x:c r="W71" s="10" t="s">
        <x:v>832</x:v>
      </x:c>
      <x:c r="X71" s="10"/>
      <x:c r="Y71" s="10"/>
      <x:c r="Z71" s="10" t="str">
        <x:f t="shared" si="2"/>
      </x:c>
      <x:c r="AA71" s="10" t="n">
        <x:f>COUNTIF(assemblies!$B$2:$B$2029,A71)</x:f>
        <x:v>0</x:v>
      </x:c>
      <x:c r="AB71" s="10" t="n">
        <x:f>COUNTIF(pores!$B$2:$B$5028,A71)</x:f>
        <x:v>0</x:v>
      </x:c>
      <x:c r="AC71" s="10" t="n">
        <x:f>COUNTIF(evidence!$B$2:$B$10000,A71)</x:f>
        <x:v>0</x:v>
      </x:c>
      <x:c r="AD71" s="10" t="s">
        <x:v>833</x:v>
      </x:c>
      <x:c r="AE71" s="10" t="s">
        <x:v>834</x:v>
      </x:c>
      <x:c r="AF71" s="10" t="s">
        <x:v>411</x:v>
      </x:c>
      <x:c r="AG71" s="16"/>
    </x:row>
    <x:row r="72" ht="59.95000076293945" customHeight="1">
      <x:c r="A72" s="13" t="s">
        <x:v>835</x:v>
      </x:c>
      <x:c r="B72" s="7"/>
      <x:c r="C72" s="7" t="s">
        <x:v>137</x:v>
      </x:c>
      <x:c r="D72" s="7" t="s">
        <x:v>836</x:v>
      </x:c>
      <x:c r="E72" s="7" t="s">
        <x:v>837</x:v>
      </x:c>
      <x:c r="F72" s="7" t="s">
        <x:v>342</x:v>
      </x:c>
      <x:c r="G72" s="7">
        <x:v>101510</x:v>
      </x:c>
      <x:c r="H72" s="7" t="s">
        <x:v>838</x:v>
      </x:c>
      <x:c r="I72" s="7"/>
      <x:c r="J72" s="7"/>
      <x:c r="K72" s="7">
        <x:v>268</x:v>
      </x:c>
      <x:c r="L72" s="7" t="s">
        <x:v>243</x:v>
      </x:c>
      <x:c r="M72" s="7" t="s">
        <x:v>123</x:v>
      </x:c>
      <x:c r="N72" s="7" t="s">
        <x:v>463</x:v>
      </x:c>
      <x:c r="O72" s="7" t="s">
        <x:v>839</x:v>
      </x:c>
      <x:c r="P72" s="7"/>
      <x:c r="Q72" s="7" t="s">
        <x:v>719</x:v>
      </x:c>
      <x:c r="R72" s="7" t="s">
        <x:v>258</x:v>
      </x:c>
      <x:c r="S72" s="8" t="b">
        <x:v>0</x:v>
      </x:c>
      <x:c r="T72" s="7"/>
      <x:c r="U72" s="7" t="s">
        <x:v>840</x:v>
      </x:c>
      <x:c r="V72" s="7" t="s">
        <x:v>841</x:v>
      </x:c>
      <x:c r="W72" s="7" t="s">
        <x:v>842</x:v>
      </x:c>
      <x:c r="X72" s="7"/>
      <x:c r="Y72" s="7"/>
      <x:c r="Z72" s="7" t="str">
        <x:f t="shared" si="2"/>
      </x:c>
      <x:c r="AA72" s="7" t="n">
        <x:f>COUNTIF(assemblies!$B$2:$B$2029,A72)</x:f>
        <x:v>2</x:v>
      </x:c>
      <x:c r="AB72" s="7" t="n">
        <x:f>COUNTIF(pores!$B$2:$B$5028,A72)</x:f>
        <x:v>0</x:v>
      </x:c>
      <x:c r="AC72" s="7" t="n">
        <x:f>COUNTIF(evidence!$B$2:$B$10000,A72)</x:f>
        <x:v>3</x:v>
      </x:c>
      <x:c r="AD72" s="7" t="s">
        <x:v>843</x:v>
      </x:c>
      <x:c r="AE72" s="7" t="s">
        <x:v>844</x:v>
      </x:c>
      <x:c r="AF72" s="7" t="s">
        <x:v>845</x:v>
      </x:c>
      <x:c r="AG72" s="15" t="s">
        <x:v>733</x:v>
      </x:c>
    </x:row>
    <x:row r="73" ht="73.1500015258789" customHeight="1">
      <x:c r="A73" s="14" t="s">
        <x:v>846</x:v>
      </x:c>
      <x:c r="B73" s="10" t="s">
        <x:v>847</x:v>
      </x:c>
      <x:c r="C73" s="10" t="s">
        <x:v>848</x:v>
      </x:c>
      <x:c r="D73" s="10" t="s">
        <x:v>849</x:v>
      </x:c>
      <x:c r="E73" s="10" t="s">
        <x:v>850</x:v>
      </x:c>
      <x:c r="F73" s="10" t="s">
        <x:v>851</x:v>
      </x:c>
      <x:c r="G73" s="10">
        <x:v>174633</x:v>
      </x:c>
      <x:c r="H73" s="10" t="s">
        <x:v>141</x:v>
      </x:c>
      <x:c r="I73" s="10"/>
      <x:c r="J73" s="10" t="s">
        <x:v>852</x:v>
      </x:c>
      <x:c r="K73" s="10">
        <x:v>363</x:v>
      </x:c>
      <x:c r="L73" s="10" t="s">
        <x:v>122</x:v>
      </x:c>
      <x:c r="M73" s="10" t="s">
        <x:v>123</x:v>
      </x:c>
      <x:c r="N73" s="10" t="s">
        <x:v>124</x:v>
      </x:c>
      <x:c r="O73" s="10"/>
      <x:c r="P73" s="10"/>
      <x:c r="Q73" s="10" t="s">
        <x:v>719</x:v>
      </x:c>
      <x:c r="R73" s="10" t="s">
        <x:v>126</x:v>
      </x:c>
      <x:c r="S73" s="11" t="b">
        <x:v>1</x:v>
      </x:c>
      <x:c r="T73" s="10" t="s">
        <x:v>853</x:v>
      </x:c>
      <x:c r="U73" s="10" t="s">
        <x:v>854</x:v>
      </x:c>
      <x:c r="V73" s="10" t="s">
        <x:v>855</x:v>
      </x:c>
      <x:c r="W73" s="10" t="s">
        <x:v>856</x:v>
      </x:c>
      <x:c r="X73" s="10"/>
      <x:c r="Y73" s="10"/>
      <x:c r="Z73" s="10" t="str">
        <x:f t="shared" si="2"/>
      </x:c>
      <x:c r="AA73" s="10" t="n">
        <x:f>COUNTIF(assemblies!$B$2:$B$2029,A73)</x:f>
        <x:v>2</x:v>
      </x:c>
      <x:c r="AB73" s="10" t="n">
        <x:f>COUNTIF(pores!$B$2:$B$5028,A73)</x:f>
        <x:v>0</x:v>
      </x:c>
      <x:c r="AC73" s="10" t="n">
        <x:f>COUNTIF(evidence!$B$2:$B$10000,A73)</x:f>
        <x:v>3</x:v>
      </x:c>
      <x:c r="AD73" s="10" t="s">
        <x:v>857</x:v>
      </x:c>
      <x:c r="AE73" s="10" t="s">
        <x:v>858</x:v>
      </x:c>
      <x:c r="AF73" s="10" t="s">
        <x:v>859</x:v>
      </x:c>
      <x:c r="AG73" s="16" t="s">
        <x:v>860</x:v>
      </x:c>
    </x:row>
    <x:row r="74" ht="59.95000076293945" customHeight="1">
      <x:c r="A74" s="13" t="s">
        <x:v>861</x:v>
      </x:c>
      <x:c r="B74" s="7" t="s">
        <x:v>862</x:v>
      </x:c>
      <x:c r="C74" s="7" t="s">
        <x:v>863</x:v>
      </x:c>
      <x:c r="D74" s="7" t="s">
        <x:v>211</x:v>
      </x:c>
      <x:c r="E74" s="7" t="s">
        <x:v>212</x:v>
      </x:c>
      <x:c r="F74" s="7" t="s">
        <x:v>213</x:v>
      </x:c>
      <x:c r="G74" s="7">
        <x:v>186497</x:v>
      </x:c>
      <x:c r="H74" s="7"/>
      <x:c r="I74" s="7" t="s">
        <x:v>864</x:v>
      </x:c>
      <x:c r="J74" s="7"/>
      <x:c r="K74" s="7">
        <x:v>99</x:v>
      </x:c>
      <x:c r="L74" s="7" t="s">
        <x:v>122</x:v>
      </x:c>
      <x:c r="M74" s="7" t="s">
        <x:v>865</x:v>
      </x:c>
      <x:c r="N74" s="7" t="s">
        <x:v>124</x:v>
      </x:c>
      <x:c r="O74" s="7"/>
      <x:c r="P74" s="7"/>
      <x:c r="Q74" s="7" t="s">
        <x:v>326</x:v>
      </x:c>
      <x:c r="R74" s="7" t="s">
        <x:v>184</x:v>
      </x:c>
      <x:c r="S74" s="8" t="b">
        <x:v>1</x:v>
      </x:c>
      <x:c r="T74" s="7"/>
      <x:c r="U74" s="7"/>
      <x:c r="V74" s="7"/>
      <x:c r="W74" s="7" t="s">
        <x:v>866</x:v>
      </x:c>
      <x:c r="X74" s="7"/>
      <x:c r="Y74" s="7"/>
      <x:c r="Z74" s="7" t="str">
        <x:f t="shared" si="2"/>
      </x:c>
      <x:c r="AA74" s="7" t="n">
        <x:f>COUNTIF(assemblies!$B$2:$B$2029,A74)</x:f>
        <x:v>0</x:v>
      </x:c>
      <x:c r="AB74" s="7" t="n">
        <x:f>COUNTIF(pores!$B$2:$B$5028,A74)</x:f>
        <x:v>0</x:v>
      </x:c>
      <x:c r="AC74" s="7" t="n">
        <x:f>COUNTIF(evidence!$B$2:$B$10000,A74)</x:f>
        <x:v>0</x:v>
      </x:c>
      <x:c r="AD74" s="7" t="s">
        <x:v>867</x:v>
      </x:c>
      <x:c r="AE74" s="7" t="s">
        <x:v>868</x:v>
      </x:c>
      <x:c r="AF74" s="7" t="s">
        <x:v>411</x:v>
      </x:c>
      <x:c r="AG74" s="15"/>
    </x:row>
    <x:row r="75" ht="59.95000076293945" customHeight="1">
      <x:c r="A75" s="14" t="s">
        <x:v>869</x:v>
      </x:c>
      <x:c r="B75" s="10" t="s">
        <x:v>870</x:v>
      </x:c>
      <x:c r="C75" s="10" t="s">
        <x:v>871</x:v>
      </x:c>
      <x:c r="D75" s="10" t="s">
        <x:v>872</x:v>
      </x:c>
      <x:c r="E75" s="10" t="s">
        <x:v>873</x:v>
      </x:c>
      <x:c r="F75" s="10" t="s">
        <x:v>213</x:v>
      </x:c>
      <x:c r="G75" s="10">
        <x:v>2262</x:v>
      </x:c>
      <x:c r="H75" s="10"/>
      <x:c r="I75" s="10"/>
      <x:c r="J75" s="10"/>
      <x:c r="K75" s="10">
        <x:v>99</x:v>
      </x:c>
      <x:c r="L75" s="10" t="s">
        <x:v>122</x:v>
      </x:c>
      <x:c r="M75" s="10" t="s">
        <x:v>865</x:v>
      </x:c>
      <x:c r="N75" s="10" t="s">
        <x:v>124</x:v>
      </x:c>
      <x:c r="O75" s="10"/>
      <x:c r="P75" s="10"/>
      <x:c r="Q75" s="10" t="s">
        <x:v>326</x:v>
      </x:c>
      <x:c r="R75" s="10" t="s">
        <x:v>184</x:v>
      </x:c>
      <x:c r="S75" s="11" t="b">
        <x:v>1</x:v>
      </x:c>
      <x:c r="T75" s="10"/>
      <x:c r="U75" s="10"/>
      <x:c r="V75" s="10"/>
      <x:c r="W75" s="10" t="s">
        <x:v>874</x:v>
      </x:c>
      <x:c r="X75" s="10"/>
      <x:c r="Y75" s="10"/>
      <x:c r="Z75" s="10" t="str">
        <x:f t="shared" si="2"/>
      </x:c>
      <x:c r="AA75" s="10" t="n">
        <x:f>COUNTIF(assemblies!$B$2:$B$2029,A75)</x:f>
        <x:v>0</x:v>
      </x:c>
      <x:c r="AB75" s="10" t="n">
        <x:f>COUNTIF(pores!$B$2:$B$5028,A75)</x:f>
        <x:v>0</x:v>
      </x:c>
      <x:c r="AC75" s="10" t="n">
        <x:f>COUNTIF(evidence!$B$2:$B$10000,A75)</x:f>
        <x:v>0</x:v>
      </x:c>
      <x:c r="AD75" s="10" t="s">
        <x:v>875</x:v>
      </x:c>
      <x:c r="AE75" s="10" t="s">
        <x:v>876</x:v>
      </x:c>
      <x:c r="AF75" s="10" t="s">
        <x:v>411</x:v>
      </x:c>
      <x:c r="AG75" s="16"/>
    </x:row>
    <x:row r="76" ht="33.29999923706055" customHeight="1">
      <x:c r="A76" s="13"/>
      <x:c r="B76" s="7"/>
      <x:c r="C76" s="7"/>
      <x:c r="D76" s="7"/>
      <x:c r="E76" s="7"/>
      <x:c r="F76" s="7"/>
      <x:c r="G76" s="7"/>
      <x:c r="H76" s="7"/>
      <x:c r="I76" s="7"/>
      <x:c r="J76" s="7"/>
      <x:c r="K76" s="7"/>
      <x:c r="L76" s="7"/>
      <x:c r="M76" s="7"/>
      <x:c r="N76" s="7"/>
      <x:c r="O76" s="7"/>
      <x:c r="P76" s="7"/>
      <x:c r="Q76" s="7"/>
      <x:c r="R76" s="7"/>
      <x:c r="S76" s="7"/>
      <x:c r="T76" s="7"/>
      <x:c r="U76" s="7"/>
      <x:c r="V76" s="7"/>
      <x:c r="W76" s="7"/>
      <x:c r="X76" s="7"/>
      <x:c r="Y76" s="7"/>
      <x:c r="Z76" s="7"/>
      <x:c r="AA76" s="7"/>
      <x:c r="AB76" s="7"/>
      <x:c r="AC76" s="7"/>
      <x:c r="AD76" s="7"/>
      <x:c r="AE76" s="7"/>
      <x:c r="AF76" s="7"/>
      <x:c r="AG76" s="15"/>
    </x:row>
    <x:row r="77" ht="33.29999923706055" customHeight="1">
      <x:c r="A77" s="14"/>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c r="AA77" s="10"/>
      <x:c r="AB77" s="10"/>
      <x:c r="AC77" s="10"/>
      <x:c r="AD77" s="10"/>
      <x:c r="AE77" s="10"/>
      <x:c r="AF77" s="10"/>
      <x:c r="AG77" s="16"/>
    </x:row>
    <x:row r="78" ht="33.29999923706055" customHeight="1">
      <x:c r="A78" s="13"/>
      <x:c r="B78" s="7"/>
      <x:c r="C78" s="7"/>
      <x:c r="D78" s="7"/>
      <x:c r="E78" s="7"/>
      <x:c r="F78" s="7"/>
      <x:c r="G78" s="7"/>
      <x:c r="H78" s="7"/>
      <x:c r="I78" s="7"/>
      <x:c r="J78" s="7"/>
      <x:c r="K78" s="7"/>
      <x:c r="L78" s="7"/>
      <x:c r="M78" s="7"/>
      <x:c r="N78" s="7"/>
      <x:c r="O78" s="7"/>
      <x:c r="P78" s="7"/>
      <x:c r="Q78" s="7"/>
      <x:c r="R78" s="7"/>
      <x:c r="S78" s="7"/>
      <x:c r="T78" s="7"/>
      <x:c r="U78" s="7"/>
      <x:c r="V78" s="7"/>
      <x:c r="W78" s="7"/>
      <x:c r="X78" s="7"/>
      <x:c r="Y78" s="7"/>
      <x:c r="Z78" s="7"/>
      <x:c r="AA78" s="7"/>
      <x:c r="AB78" s="7"/>
      <x:c r="AC78" s="7"/>
      <x:c r="AD78" s="7"/>
      <x:c r="AE78" s="7"/>
      <x:c r="AF78" s="7"/>
      <x:c r="AG78" s="15"/>
    </x:row>
    <x:row r="79" ht="33.29999923706055" customHeight="1">
      <x:c r="A79" s="14"/>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c r="AA79" s="10"/>
      <x:c r="AB79" s="10"/>
      <x:c r="AC79" s="10"/>
      <x:c r="AD79" s="10"/>
      <x:c r="AE79" s="10"/>
      <x:c r="AF79" s="10"/>
      <x:c r="AG79" s="16"/>
    </x:row>
    <x:row r="80" ht="33.29999923706055" customHeight="1">
      <x:c r="A80" s="13"/>
      <x:c r="B80" s="7"/>
      <x:c r="C80" s="7"/>
      <x:c r="D80" s="7"/>
      <x:c r="E80" s="7"/>
      <x:c r="F80" s="7"/>
      <x:c r="G80" s="7"/>
      <x:c r="H80" s="7"/>
      <x:c r="I80" s="7"/>
      <x:c r="J80" s="7"/>
      <x:c r="K80" s="7"/>
      <x:c r="L80" s="7"/>
      <x:c r="M80" s="7"/>
      <x:c r="N80" s="7"/>
      <x:c r="O80" s="7"/>
      <x:c r="P80" s="7"/>
      <x:c r="Q80" s="7"/>
      <x:c r="R80" s="7"/>
      <x:c r="S80" s="7"/>
      <x:c r="T80" s="7"/>
      <x:c r="U80" s="7"/>
      <x:c r="V80" s="7"/>
      <x:c r="W80" s="7"/>
      <x:c r="X80" s="7"/>
      <x:c r="Y80" s="7"/>
      <x:c r="Z80" s="7"/>
      <x:c r="AA80" s="7"/>
      <x:c r="AB80" s="7"/>
      <x:c r="AC80" s="7"/>
      <x:c r="AD80" s="7"/>
      <x:c r="AE80" s="7"/>
      <x:c r="AF80" s="7"/>
      <x:c r="AG80" s="15"/>
    </x:row>
    <x:row r="81" ht="33.29999923706055" customHeight="1">
      <x:c r="A81" s="14"/>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c r="AA81" s="10"/>
      <x:c r="AB81" s="10"/>
      <x:c r="AC81" s="10"/>
      <x:c r="AD81" s="10"/>
      <x:c r="AE81" s="10"/>
      <x:c r="AF81" s="10"/>
      <x:c r="AG81" s="16"/>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31" customWidth="1"/>
    <x:col min="2" max="2" width="19" customWidth="1"/>
    <x:col min="3" max="3" width="55" customWidth="1"/>
    <x:col min="4" max="4" width="20" customWidth="1"/>
    <x:col min="5" max="5" width="24" customWidth="1"/>
    <x:col min="6" max="6" width="20" customWidth="1"/>
    <x:col min="7" max="7" width="28" customWidth="1"/>
    <x:col min="8" max="13" width="20" customWidth="1"/>
    <x:col min="14" max="14" width="75" customWidth="1"/>
    <x:col min="15" max="15" width="47" customWidth="1"/>
    <x:col min="16" max="16" width="36" customWidth="1"/>
    <x:col min="17" max="17" width="58" customWidth="1"/>
    <x:col min="18" max="18" width="96" customWidth="1"/>
    <x:col min="19" max="19" width="57" customWidth="1"/>
    <x:col min="20" max="20" width="92" customWidth="1"/>
    <x:col min="21" max="21" width="19" hidden="0" customWidth="1"/>
    <x:col min="22" max="22" width="64" hidden="0" customWidth="1"/>
    <x:col min="23" max="23" width="30" hidden="0" customWidth="1"/>
    <x:col min="24" max="24" width="33" hidden="0" customWidth="1"/>
    <x:col min="25" max="25" width="30" hidden="0" customWidth="1"/>
    <x:col min="26" max="26" width="30" hidden="0" customWidth="1"/>
    <x:col min="27" max="27" width="58" hidden="0" customWidth="1"/>
  </x:cols>
  <x:sheetData>
    <x:row r="1" ht="30" customHeight="1">
      <x:c r="A1" s="2" t="s">
        <x:v>877</x:v>
      </x:c>
      <x:c r="B1" s="2" t="s">
        <x:v>81</x:v>
      </x:c>
      <x:c r="C1" s="2" t="s">
        <x:v>878</x:v>
      </x:c>
      <x:c r="D1" s="2" t="s">
        <x:v>879</x:v>
      </x:c>
      <x:c r="E1" s="2" t="s">
        <x:v>880</x:v>
      </x:c>
      <x:c r="F1" s="2" t="s">
        <x:v>881</x:v>
      </x:c>
      <x:c r="G1" s="2" t="s">
        <x:v>882</x:v>
      </x:c>
      <x:c r="H1" s="2" t="s">
        <x:v>883</x:v>
      </x:c>
      <x:c r="I1" s="2" t="s">
        <x:v>884</x:v>
      </x:c>
      <x:c r="J1" s="2" t="s">
        <x:v>885</x:v>
      </x:c>
      <x:c r="K1" s="2" t="s">
        <x:v>886</x:v>
      </x:c>
      <x:c r="L1" s="2" t="s">
        <x:v>887</x:v>
      </x:c>
      <x:c r="M1" s="2" t="s">
        <x:v>888</x:v>
      </x:c>
      <x:c r="N1" s="2" t="s">
        <x:v>889</x:v>
      </x:c>
      <x:c r="O1" s="2" t="s">
        <x:v>890</x:v>
      </x:c>
      <x:c r="P1" s="2" t="s">
        <x:v>891</x:v>
      </x:c>
      <x:c r="Q1" s="2" t="s">
        <x:v>892</x:v>
      </x:c>
      <x:c r="R1" s="2" t="s">
        <x:v>893</x:v>
      </x:c>
      <x:c r="S1" s="2" t="s">
        <x:v>894</x:v>
      </x:c>
      <x:c r="T1" s="2" t="s">
        <x:v>895</x:v>
      </x:c>
      <x:c r="U1" s="60" t="str">
        <x:v>shell_sequence_status</x:v>
      </x:c>
      <x:c r="V1" s="60" t="str">
        <x:v>shell_sequence_change</x:v>
      </x:c>
      <x:c r="W1" s="60" t="str">
        <x:v>comparison_reference_assembly_id</x:v>
      </x:c>
      <x:c r="X1" s="96" t="str">
        <x:v>shell_change_reference_positions_aa</x:v>
      </x:c>
      <x:c r="Y1" s="96" t="str">
        <x:v>shell_change_original_aa</x:v>
      </x:c>
      <x:c r="Z1" s="96" t="str">
        <x:v>shell_change_variant_aa</x:v>
      </x:c>
      <x:c r="AA1" s="96" t="str">
        <x:v>shell_change_alignment_note</x:v>
      </x:c>
    </x:row>
    <x:row r="2" ht="139.6999969482422" customHeight="1">
      <x:c r="A2" s="13" t="s">
        <x:v>127</x:v>
      </x:c>
      <x:c r="B2" s="15" t="s">
        <x:v>114</x:v>
      </x:c>
      <x:c r="C2" s="7" t="s">
        <x:v>896</x:v>
      </x:c>
      <x:c r="D2" s="7" t="s">
        <x:v>897</x:v>
      </x:c>
      <x:c r="E2" s="7" t="s">
        <x:v>898</x:v>
      </x:c>
      <x:c r="F2" s="7">
        <x:v>3</x:v>
      </x:c>
      <x:c r="G2" s="7" t="s">
        <x:v>899</x:v>
      </x:c>
      <x:c r="H2" s="7">
        <x:v>180</x:v>
      </x:c>
      <x:c r="I2" s="7">
        <x:v>32</x:v>
      </x:c>
      <x:c r="J2" s="7">
        <x:v>26</x:v>
      </x:c>
      <x:c r="K2" s="7">
        <x:v>3</x:v>
      </x:c>
      <x:c r="L2" s="7" t="s">
        <x:v>900</x:v>
      </x:c>
      <x:c r="M2" s="7"/>
      <x:c r="N2" s="7" t="s">
        <x:v>901</x:v>
      </x:c>
      <x:c r="O2" s="7" t="s">
        <x:v>902</x:v>
      </x:c>
      <x:c r="P2" s="7" t="s">
        <x:v>903</x:v>
      </x:c>
      <x:c r="Q2" s="7" t="s">
        <x:v>904</x:v>
      </x:c>
      <x:c r="R2" s="7" t="s">
        <x:v>905</x:v>
      </x:c>
      <x:c r="S2" s="15" t="s">
        <x:v>906</x:v>
      </x:c>
      <x:c r="T2" s="7"/>
      <x:c r="U2" t="str">
        <x:v>unmodified</x:v>
      </x:c>
      <x:c r="V2" s="63" t="str">
        <x:v>No engineered alteration of the WT shell protein is recorded for this assembly.</x:v>
      </x:c>
      <x:c r="W2" t="str">
        <x:v>Q1D6H4_T3</x:v>
      </x:c>
      <x:c r="X2" s="63"/>
      <x:c r="Y2" s="98"/>
      <x:c r="Z2" s="100"/>
      <x:c r="AA2" s="63"/>
    </x:row>
    <x:row r="3" ht="166.35000610351562" customHeight="1">
      <x:c r="A3" s="14" t="s">
        <x:v>907</x:v>
      </x:c>
      <x:c r="B3" s="16" t="s">
        <x:v>114</x:v>
      </x:c>
      <x:c r="C3" s="10" t="s">
        <x:v>896</x:v>
      </x:c>
      <x:c r="D3" s="10" t="s">
        <x:v>897</x:v>
      </x:c>
      <x:c r="E3" s="10" t="s">
        <x:v>898</x:v>
      </x:c>
      <x:c r="F3" s="10">
        <x:v>1</x:v>
      </x:c>
      <x:c r="G3" s="10" t="s">
        <x:v>899</x:v>
      </x:c>
      <x:c r="H3" s="10">
        <x:v>60</x:v>
      </x:c>
      <x:c r="I3" s="10">
        <x:v>18</x:v>
      </x:c>
      <x:c r="J3" s="10"/>
      <x:c r="K3" s="10"/>
      <x:c r="L3" s="10" t="s">
        <x:v>908</x:v>
      </x:c>
      <x:c r="M3" s="10"/>
      <x:c r="N3" s="10" t="s">
        <x:v>909</x:v>
      </x:c>
      <x:c r="O3" s="10" t="s">
        <x:v>910</x:v>
      </x:c>
      <x:c r="P3" s="10" t="s">
        <x:v>911</x:v>
      </x:c>
      <x:c r="Q3" s="10" t="s">
        <x:v>912</x:v>
      </x:c>
      <x:c r="R3" s="10" t="s">
        <x:v>913</x:v>
      </x:c>
      <x:c r="S3" s="16" t="s">
        <x:v>914</x:v>
      </x:c>
      <x:c r="T3" s="10"/>
      <x:c r="U3" t="str">
        <x:v>unmodified</x:v>
      </x:c>
      <x:c r="V3" s="63" t="str">
        <x:v>No engineered alteration of the WT shell protein is recorded for this assembly.</x:v>
      </x:c>
      <x:c r="W3" t="str">
        <x:v>Q1D6H4_T3</x:v>
      </x:c>
      <x:c r="X3" s="63"/>
      <x:c r="Y3" s="98"/>
      <x:c r="Z3" s="100"/>
      <x:c r="AA3" s="63"/>
    </x:row>
    <x:row r="4" ht="73.1500015258789" customHeight="1">
      <x:c r="A4" s="13" t="s">
        <x:v>915</x:v>
      </x:c>
      <x:c r="B4" s="15" t="s">
        <x:v>114</x:v>
      </x:c>
      <x:c r="C4" s="7" t="s">
        <x:v>896</x:v>
      </x:c>
      <x:c r="D4" s="7" t="s">
        <x:v>897</x:v>
      </x:c>
      <x:c r="E4" s="7" t="s">
        <x:v>898</x:v>
      </x:c>
      <x:c r="F4" s="7">
        <x:v>3</x:v>
      </x:c>
      <x:c r="G4" s="7" t="s">
        <x:v>899</x:v>
      </x:c>
      <x:c r="H4" s="7">
        <x:v>180</x:v>
      </x:c>
      <x:c r="I4" s="7">
        <x:v>32</x:v>
      </x:c>
      <x:c r="J4" s="7"/>
      <x:c r="K4" s="7"/>
      <x:c r="L4" s="7"/>
      <x:c r="M4" s="7"/>
      <x:c r="N4" s="7" t="s">
        <x:v>916</x:v>
      </x:c>
      <x:c r="O4" s="7" t="s">
        <x:v>910</x:v>
      </x:c>
      <x:c r="P4" s="7" t="s">
        <x:v>917</x:v>
      </x:c>
      <x:c r="Q4" s="7" t="s">
        <x:v>918</x:v>
      </x:c>
      <x:c r="R4" s="7" t="s">
        <x:v>919</x:v>
      </x:c>
      <x:c r="S4" s="15" t="s">
        <x:v>920</x:v>
      </x:c>
      <x:c r="T4" s="7"/>
      <x:c r="U4" t="str">
        <x:v>unmodified</x:v>
      </x:c>
      <x:c r="V4" s="63" t="str">
        <x:v>No engineered alteration of the WT shell protein is recorded for this assembly.</x:v>
      </x:c>
      <x:c r="W4" t="str">
        <x:v>Q1D6H4_T3</x:v>
      </x:c>
      <x:c r="X4" s="63"/>
      <x:c r="Y4" s="98"/>
      <x:c r="Z4" s="100"/>
      <x:c r="AA4" s="63"/>
    </x:row>
    <x:row r="5" ht="46.599998474121094" customHeight="1">
      <x:c r="A5" s="14" t="s">
        <x:v>921</x:v>
      </x:c>
      <x:c r="B5" s="16" t="s">
        <x:v>114</x:v>
      </x:c>
      <x:c r="C5" s="10" t="s">
        <x:v>922</x:v>
      </x:c>
      <x:c r="D5" s="10" t="s">
        <x:v>923</x:v>
      </x:c>
      <x:c r="E5" s="10" t="s">
        <x:v>898</x:v>
      </x:c>
      <x:c r="F5" s="10">
        <x:v>1</x:v>
      </x:c>
      <x:c r="G5" s="10" t="s">
        <x:v>899</x:v>
      </x:c>
      <x:c r="H5" s="10">
        <x:v>60</x:v>
      </x:c>
      <x:c r="I5" s="10" t="s">
        <x:v>924</x:v>
      </x:c>
      <x:c r="J5" s="10"/>
      <x:c r="K5" s="10"/>
      <x:c r="L5" s="10" t="s">
        <x:v>925</x:v>
      </x:c>
      <x:c r="M5" s="10"/>
      <x:c r="N5" s="10" t="s">
        <x:v>926</x:v>
      </x:c>
      <x:c r="O5" s="10" t="s">
        <x:v>927</x:v>
      </x:c>
      <x:c r="P5" s="10" t="s">
        <x:v>928</x:v>
      </x:c>
      <x:c r="Q5" s="10" t="s">
        <x:v>929</x:v>
      </x:c>
      <x:c r="R5" s="10" t="s">
        <x:v>930</x:v>
      </x:c>
      <x:c r="S5" s="16" t="s">
        <x:v>931</x:v>
      </x:c>
      <x:c r="T5" s="10"/>
      <x:c r="U5" t="str">
        <x:v>modified</x:v>
      </x:c>
      <x:c r="V5" s="63" t="str">
        <x:v>K199H, T200H and G201H substitutions (3×His pore variant; not a terminal His-tag).</x:v>
      </x:c>
      <x:c r="W5" t="str">
        <x:v>Q1D6H4_T3</x:v>
      </x:c>
      <x:c r="X5" s="63" t="str">
        <x:v>199–201</x:v>
      </x:c>
      <x:c r="Y5" s="98" t="str">
        <x:v>KTG</x:v>
      </x:c>
      <x:c r="Z5" s="100" t="str">
        <x:v>HHH</x:v>
      </x:c>
      <x:c r="AA5" s="63" t="str">
        <x:v>Direct comparison of curated WT and 3×His protein sequences; 1-based reference protein numbering.</x:v>
      </x:c>
    </x:row>
    <x:row r="6" ht="59.95000076293945" customHeight="1">
      <x:c r="A6" s="13" t="s">
        <x:v>932</x:v>
      </x:c>
      <x:c r="B6" s="15" t="s">
        <x:v>114</x:v>
      </x:c>
      <x:c r="C6" s="7" t="s">
        <x:v>922</x:v>
      </x:c>
      <x:c r="D6" s="7" t="s">
        <x:v>923</x:v>
      </x:c>
      <x:c r="E6" s="7" t="s">
        <x:v>933</x:v>
      </x:c>
      <x:c r="F6" s="7"/>
      <x:c r="G6" s="7" t="s">
        <x:v>934</x:v>
      </x:c>
      <x:c r="H6" s="7">
        <x:v>36</x:v>
      </x:c>
      <x:c r="I6" s="7"/>
      <x:c r="J6" s="7"/>
      <x:c r="K6" s="7"/>
      <x:c r="L6" s="7" t="s">
        <x:v>935</x:v>
      </x:c>
      <x:c r="M6" s="7"/>
      <x:c r="N6" s="7" t="s">
        <x:v>936</x:v>
      </x:c>
      <x:c r="O6" s="7" t="s">
        <x:v>902</x:v>
      </x:c>
      <x:c r="P6" s="7" t="s">
        <x:v>937</x:v>
      </x:c>
      <x:c r="Q6" s="7" t="s">
        <x:v>929</x:v>
      </x:c>
      <x:c r="R6" s="7" t="s">
        <x:v>938</x:v>
      </x:c>
      <x:c r="S6" s="15" t="s">
        <x:v>931</x:v>
      </x:c>
      <x:c r="T6" s="7"/>
      <x:c r="U6" t="str">
        <x:v>modified</x:v>
      </x:c>
      <x:c r="V6" s="63" t="str">
        <x:v>K199H, T200H and G201H substitutions (same protein variant as the T=1 assembly).</x:v>
      </x:c>
      <x:c r="W6" t="str">
        <x:v>Q1D6H4_T3</x:v>
      </x:c>
      <x:c r="X6" s="63" t="str">
        <x:v>199–201</x:v>
      </x:c>
      <x:c r="Y6" s="98" t="str">
        <x:v>KTG</x:v>
      </x:c>
      <x:c r="Z6" s="100" t="str">
        <x:v>HHH</x:v>
      </x:c>
      <x:c r="AA6" s="63" t="str">
        <x:v>Direct comparison of curated WT and 3×His protein sequences; 1-based reference protein numbering.</x:v>
      </x:c>
    </x:row>
    <x:row r="7" ht="59.95000076293945" customHeight="1">
      <x:c r="A7" s="14" t="s">
        <x:v>939</x:v>
      </x:c>
      <x:c r="B7" s="16" t="s">
        <x:v>114</x:v>
      </x:c>
      <x:c r="C7" s="10" t="s">
        <x:v>940</x:v>
      </x:c>
      <x:c r="D7" s="10" t="s">
        <x:v>923</x:v>
      </x:c>
      <x:c r="E7" s="10" t="s">
        <x:v>898</x:v>
      </x:c>
      <x:c r="F7" s="10">
        <x:v>1</x:v>
      </x:c>
      <x:c r="G7" s="10" t="s">
        <x:v>899</x:v>
      </x:c>
      <x:c r="H7" s="10">
        <x:v>60</x:v>
      </x:c>
      <x:c r="I7" s="10" t="s">
        <x:v>941</x:v>
      </x:c>
      <x:c r="J7" s="10"/>
      <x:c r="K7" s="10"/>
      <x:c r="L7" s="10"/>
      <x:c r="M7" s="10"/>
      <x:c r="N7" s="10" t="s">
        <x:v>942</x:v>
      </x:c>
      <x:c r="O7" s="10" t="s">
        <x:v>927</x:v>
      </x:c>
      <x:c r="P7" s="10" t="s">
        <x:v>943</x:v>
      </x:c>
      <x:c r="Q7" s="10" t="s">
        <x:v>944</x:v>
      </x:c>
      <x:c r="R7" s="10" t="s">
        <x:v>945</x:v>
      </x:c>
      <x:c r="S7" s="16" t="s">
        <x:v>946</x:v>
      </x:c>
      <x:c r="T7" s="10"/>
      <x:c r="U7" t="str">
        <x:v>modified</x:v>
      </x:c>
      <x:c r="V7" s="63" t="str">
        <x:v>Pore-loop replacement: ΔI195–L202 plus GG, as annotated for Mx_pmut.</x:v>
      </x:c>
      <x:c r="W7" t="str">
        <x:v>Q1D6H4_T3</x:v>
      </x:c>
      <x:c r="X7" s="63" t="str">
        <x:v>196–203</x:v>
      </x:c>
      <x:c r="Y7" s="98" t="str">
        <x:v>IYEKTGVL</x:v>
      </x:c>
      <x:c r="Z7" s="100" t="str">
        <x:v>GG</x:v>
      </x:c>
      <x:c r="AA7" s="63" t="str">
        <x:v>Sequence alignment to 287-aa WT: I196–L203 → GG. Source text labels ΔI195–L202 (different residue numbering); keep both conventions distinct.</x:v>
      </x:c>
    </x:row>
    <x:row r="8" ht="46.599998474121094" customHeight="1">
      <x:c r="A8" s="13" t="s">
        <x:v>947</x:v>
      </x:c>
      <x:c r="B8" s="15" t="s">
        <x:v>114</x:v>
      </x:c>
      <x:c r="C8" s="7" t="s">
        <x:v>940</x:v>
      </x:c>
      <x:c r="D8" s="7" t="s">
        <x:v>923</x:v>
      </x:c>
      <x:c r="E8" s="7" t="s">
        <x:v>898</x:v>
      </x:c>
      <x:c r="F8" s="7">
        <x:v>3</x:v>
      </x:c>
      <x:c r="G8" s="7" t="s">
        <x:v>899</x:v>
      </x:c>
      <x:c r="H8" s="7">
        <x:v>180</x:v>
      </x:c>
      <x:c r="I8" s="7">
        <x:v>35</x:v>
      </x:c>
      <x:c r="J8" s="7"/>
      <x:c r="K8" s="7"/>
      <x:c r="L8" s="7"/>
      <x:c r="M8" s="7"/>
      <x:c r="N8" s="7" t="s">
        <x:v>948</x:v>
      </x:c>
      <x:c r="O8" s="7" t="s">
        <x:v>902</x:v>
      </x:c>
      <x:c r="P8" s="7" t="s">
        <x:v>949</x:v>
      </x:c>
      <x:c r="Q8" s="7" t="s">
        <x:v>944</x:v>
      </x:c>
      <x:c r="R8" s="7" t="s">
        <x:v>950</x:v>
      </x:c>
      <x:c r="S8" s="15" t="s">
        <x:v>946</x:v>
      </x:c>
      <x:c r="T8" s="7"/>
      <x:c r="U8" t="str">
        <x:v>modified</x:v>
      </x:c>
      <x:c r="V8" s="63" t="str">
        <x:v>Pore-loop replacement: ΔI195–L202 plus GG, as annotated for Mx_pmut.</x:v>
      </x:c>
      <x:c r="W8" t="str">
        <x:v>Q1D6H4_T3</x:v>
      </x:c>
      <x:c r="X8" s="63" t="str">
        <x:v>196–203</x:v>
      </x:c>
      <x:c r="Y8" s="98" t="str">
        <x:v>IYEKTGVL</x:v>
      </x:c>
      <x:c r="Z8" s="100" t="str">
        <x:v>GG</x:v>
      </x:c>
      <x:c r="AA8" s="63" t="str">
        <x:v>Sequence alignment to 287-aa WT: I196–L203 → GG. Source text labels ΔI195–L202 (different residue numbering); keep both conventions distinct.</x:v>
      </x:c>
    </x:row>
    <x:row r="9" ht="46.599998474121094" customHeight="1">
      <x:c r="A9" s="14" t="s">
        <x:v>951</x:v>
      </x:c>
      <x:c r="B9" s="16" t="s">
        <x:v>114</x:v>
      </x:c>
      <x:c r="C9" s="10" t="s">
        <x:v>940</x:v>
      </x:c>
      <x:c r="D9" s="10" t="s">
        <x:v>923</x:v>
      </x:c>
      <x:c r="E9" s="10" t="s">
        <x:v>898</x:v>
      </x:c>
      <x:c r="F9" s="10">
        <x:v>4</x:v>
      </x:c>
      <x:c r="G9" s="10" t="s">
        <x:v>899</x:v>
      </x:c>
      <x:c r="H9" s="10">
        <x:v>240</x:v>
      </x:c>
      <x:c r="I9" s="10">
        <x:v>39</x:v>
      </x:c>
      <x:c r="J9" s="10"/>
      <x:c r="K9" s="10"/>
      <x:c r="L9" s="10"/>
      <x:c r="M9" s="10"/>
      <x:c r="N9" s="10" t="s">
        <x:v>948</x:v>
      </x:c>
      <x:c r="O9" s="10" t="s">
        <x:v>902</x:v>
      </x:c>
      <x:c r="P9" s="10" t="s">
        <x:v>952</x:v>
      </x:c>
      <x:c r="Q9" s="10" t="s">
        <x:v>944</x:v>
      </x:c>
      <x:c r="R9" s="10" t="s">
        <x:v>953</x:v>
      </x:c>
      <x:c r="S9" s="16" t="s">
        <x:v>946</x:v>
      </x:c>
      <x:c r="T9" s="10"/>
      <x:c r="U9" t="str">
        <x:v>modified</x:v>
      </x:c>
      <x:c r="V9" s="63" t="str">
        <x:v>Pore-loop replacement: ΔI195–L202 plus GG, as annotated for Mx_pmut.</x:v>
      </x:c>
      <x:c r="W9" t="str">
        <x:v>Q1D6H4_T3</x:v>
      </x:c>
      <x:c r="X9" s="63" t="str">
        <x:v>196–203</x:v>
      </x:c>
      <x:c r="Y9" s="98" t="str">
        <x:v>IYEKTGVL</x:v>
      </x:c>
      <x:c r="Z9" s="100" t="str">
        <x:v>GG</x:v>
      </x:c>
      <x:c r="AA9" s="63" t="str">
        <x:v>Sequence alignment to 287-aa WT: I196–L203 → GG. Source text labels ΔI195–L202 (different residue numbering); keep both conventions distinct.</x:v>
      </x:c>
    </x:row>
    <x:row r="10" ht="113.0999984741211" customHeight="1">
      <x:c r="A10" s="13" t="s">
        <x:v>954</x:v>
      </x:c>
      <x:c r="B10" s="15" t="s">
        <x:v>135</x:v>
      </x:c>
      <x:c r="C10" s="7" t="s">
        <x:v>955</x:v>
      </x:c>
      <x:c r="D10" s="7" t="s">
        <x:v>897</x:v>
      </x:c>
      <x:c r="E10" s="7" t="s">
        <x:v>898</x:v>
      </x:c>
      <x:c r="F10" s="7">
        <x:v>1</x:v>
      </x:c>
      <x:c r="G10" s="7" t="s">
        <x:v>899</x:v>
      </x:c>
      <x:c r="H10" s="7">
        <x:v>60</x:v>
      </x:c>
      <x:c r="I10" s="7">
        <x:v>24</x:v>
      </x:c>
      <x:c r="J10" s="7"/>
      <x:c r="K10" s="7" t="s">
        <x:v>956</x:v>
      </x:c>
      <x:c r="L10" s="7"/>
      <x:c r="M10" s="7"/>
      <x:c r="N10" s="7" t="s">
        <x:v>957</x:v>
      </x:c>
      <x:c r="O10" s="7" t="s">
        <x:v>958</x:v>
      </x:c>
      <x:c r="P10" s="7" t="s">
        <x:v>959</x:v>
      </x:c>
      <x:c r="Q10" s="7" t="s">
        <x:v>960</x:v>
      </x:c>
      <x:c r="R10" s="7" t="s">
        <x:v>961</x:v>
      </x:c>
      <x:c r="S10" s="15" t="s">
        <x:v>962</x:v>
      </x:c>
      <x:c r="T10" s="7"/>
      <x:c r="U10" t="str">
        <x:v>unmodified</x:v>
      </x:c>
      <x:c r="V10" s="63" t="str">
        <x:v>No engineered alteration of the WT shell protein is recorded for this assembly.</x:v>
      </x:c>
      <x:c r="W10" t="str">
        <x:v>Q9WZP2_T1_empty</x:v>
      </x:c>
      <x:c r="X10" s="63"/>
      <x:c r="Y10" s="98"/>
      <x:c r="Z10" s="100"/>
      <x:c r="AA10" s="63"/>
    </x:row>
    <x:row r="11" ht="99.8499984741211" customHeight="1">
      <x:c r="A11" s="14" t="s">
        <x:v>963</x:v>
      </x:c>
      <x:c r="B11" s="16" t="s">
        <x:v>135</x:v>
      </x:c>
      <x:c r="C11" s="10" t="s">
        <x:v>955</x:v>
      </x:c>
      <x:c r="D11" s="10" t="s">
        <x:v>897</x:v>
      </x:c>
      <x:c r="E11" s="10" t="s">
        <x:v>898</x:v>
      </x:c>
      <x:c r="F11" s="10">
        <x:v>1</x:v>
      </x:c>
      <x:c r="G11" s="10" t="s">
        <x:v>964</x:v>
      </x:c>
      <x:c r="H11" s="10">
        <x:v>60</x:v>
      </x:c>
      <x:c r="I11" s="10"/>
      <x:c r="J11" s="10"/>
      <x:c r="K11" s="10"/>
      <x:c r="L11" s="10"/>
      <x:c r="M11" s="10"/>
      <x:c r="N11" s="10" t="s">
        <x:v>965</x:v>
      </x:c>
      <x:c r="O11" s="10" t="s">
        <x:v>966</x:v>
      </x:c>
      <x:c r="P11" s="10" t="s">
        <x:v>967</x:v>
      </x:c>
      <x:c r="Q11" s="10" t="s">
        <x:v>968</x:v>
      </x:c>
      <x:c r="R11" s="10" t="s">
        <x:v>969</x:v>
      </x:c>
      <x:c r="S11" s="16" t="s">
        <x:v>970</x:v>
      </x:c>
      <x:c r="T11" s="10"/>
      <x:c r="U11" t="str">
        <x:v>unmodified</x:v>
      </x:c>
      <x:c r="V11" s="63" t="str">
        <x:v>No engineered alteration of the WT shell protein is recorded for this assembly.</x:v>
      </x:c>
      <x:c r="W11" t="str">
        <x:v>Q9WZP2_T1_empty</x:v>
      </x:c>
      <x:c r="X11" s="63"/>
      <x:c r="Y11" s="98"/>
      <x:c r="Z11" s="100"/>
      <x:c r="AA11" s="63"/>
    </x:row>
    <x:row r="12" ht="59.95000076293945" customHeight="1">
      <x:c r="A12" s="13" t="s">
        <x:v>971</x:v>
      </x:c>
      <x:c r="B12" s="15" t="s">
        <x:v>135</x:v>
      </x:c>
      <x:c r="C12" s="7" t="s">
        <x:v>972</x:v>
      </x:c>
      <x:c r="D12" s="7" t="s">
        <x:v>923</x:v>
      </x:c>
      <x:c r="E12" s="7" t="s">
        <x:v>898</x:v>
      </x:c>
      <x:c r="F12" s="7">
        <x:v>1</x:v>
      </x:c>
      <x:c r="G12" s="7" t="s">
        <x:v>964</x:v>
      </x:c>
      <x:c r="H12" s="7">
        <x:v>60</x:v>
      </x:c>
      <x:c r="I12" s="7">
        <x:v>24</x:v>
      </x:c>
      <x:c r="J12" s="7"/>
      <x:c r="K12" s="7"/>
      <x:c r="L12" s="7"/>
      <x:c r="M12" s="7"/>
      <x:c r="N12" s="7" t="s">
        <x:v>942</x:v>
      </x:c>
      <x:c r="O12" s="7" t="s">
        <x:v>973</x:v>
      </x:c>
      <x:c r="P12" s="7" t="s">
        <x:v>974</x:v>
      </x:c>
      <x:c r="Q12" s="7" t="s">
        <x:v>975</x:v>
      </x:c>
      <x:c r="R12" s="7" t="s">
        <x:v>976</x:v>
      </x:c>
      <x:c r="S12" s="15" t="s">
        <x:v>977</x:v>
      </x:c>
      <x:c r="T12" s="7"/>
      <x:c r="U12" t="str">
        <x:v>modified</x:v>
      </x:c>
      <x:c r="V12" s="63" t="str">
        <x:v>Engineered pore-loop variant S1K; exact changed residues are not specified in the assembly record.</x:v>
      </x:c>
      <x:c r="W12" t="str">
        <x:v>Q9WZP2_T1_empty</x:v>
      </x:c>
      <x:c r="X12" s="63" t="str">
        <x:v>187</x:v>
      </x:c>
      <x:c r="Y12" s="98" t="str">
        <x:v>H</x:v>
      </x:c>
      <x:c r="Z12" s="100" t="str">
        <x:v>K</x:v>
      </x:c>
      <x:c r="AA12" s="63" t="str">
        <x:v>Protein alignment of curated design vs WT reference; reference numbering is 1-based. The NLBT-tagged published coding source is not asserted to be identical to the structural construct.</x:v>
      </x:c>
    </x:row>
    <x:row r="13" ht="59.95000076293945" customHeight="1">
      <x:c r="A13" s="14" t="s">
        <x:v>978</x:v>
      </x:c>
      <x:c r="B13" s="16" t="s">
        <x:v>135</x:v>
      </x:c>
      <x:c r="C13" s="10" t="s">
        <x:v>979</x:v>
      </x:c>
      <x:c r="D13" s="10" t="s">
        <x:v>923</x:v>
      </x:c>
      <x:c r="E13" s="10" t="s">
        <x:v>898</x:v>
      </x:c>
      <x:c r="F13" s="10">
        <x:v>1</x:v>
      </x:c>
      <x:c r="G13" s="10" t="s">
        <x:v>964</x:v>
      </x:c>
      <x:c r="H13" s="10">
        <x:v>60</x:v>
      </x:c>
      <x:c r="I13" s="10">
        <x:v>24</x:v>
      </x:c>
      <x:c r="J13" s="10"/>
      <x:c r="K13" s="10"/>
      <x:c r="L13" s="10"/>
      <x:c r="M13" s="10"/>
      <x:c r="N13" s="10" t="s">
        <x:v>942</x:v>
      </x:c>
      <x:c r="O13" s="10" t="s">
        <x:v>973</x:v>
      </x:c>
      <x:c r="P13" s="10" t="s">
        <x:v>980</x:v>
      </x:c>
      <x:c r="Q13" s="10" t="s">
        <x:v>975</x:v>
      </x:c>
      <x:c r="R13" s="10" t="s">
        <x:v>981</x:v>
      </x:c>
      <x:c r="S13" s="16" t="s">
        <x:v>977</x:v>
      </x:c>
      <x:c r="T13" s="10"/>
      <x:c r="U13" t="str">
        <x:v>modified</x:v>
      </x:c>
      <x:c r="V13" s="63" t="str">
        <x:v>Engineered pore-loop variant S1R; exact changed residues are not specified in the assembly record.</x:v>
      </x:c>
      <x:c r="W13" t="str">
        <x:v>Q9WZP2_T1_empty</x:v>
      </x:c>
      <x:c r="X13" s="63" t="str">
        <x:v>187</x:v>
      </x:c>
      <x:c r="Y13" s="98" t="str">
        <x:v>H</x:v>
      </x:c>
      <x:c r="Z13" s="100" t="str">
        <x:v>R</x:v>
      </x:c>
      <x:c r="AA13" s="63" t="str">
        <x:v>Protein alignment of curated design vs WT reference; reference numbering is 1-based. The NLBT-tagged published coding source is not asserted to be identical to the structural construct.</x:v>
      </x:c>
    </x:row>
    <x:row r="14" ht="59.95000076293945" customHeight="1">
      <x:c r="A14" s="13" t="s">
        <x:v>982</x:v>
      </x:c>
      <x:c r="B14" s="15" t="s">
        <x:v>135</x:v>
      </x:c>
      <x:c r="C14" s="7" t="s">
        <x:v>983</x:v>
      </x:c>
      <x:c r="D14" s="7" t="s">
        <x:v>923</x:v>
      </x:c>
      <x:c r="E14" s="7" t="s">
        <x:v>898</x:v>
      </x:c>
      <x:c r="F14" s="7">
        <x:v>1</x:v>
      </x:c>
      <x:c r="G14" s="7" t="s">
        <x:v>964</x:v>
      </x:c>
      <x:c r="H14" s="7">
        <x:v>60</x:v>
      </x:c>
      <x:c r="I14" s="7">
        <x:v>24</x:v>
      </x:c>
      <x:c r="J14" s="7"/>
      <x:c r="K14" s="7"/>
      <x:c r="L14" s="7"/>
      <x:c r="M14" s="7"/>
      <x:c r="N14" s="7" t="s">
        <x:v>942</x:v>
      </x:c>
      <x:c r="O14" s="7" t="s">
        <x:v>973</x:v>
      </x:c>
      <x:c r="P14" s="7" t="s">
        <x:v>984</x:v>
      </x:c>
      <x:c r="Q14" s="7" t="s">
        <x:v>975</x:v>
      </x:c>
      <x:c r="R14" s="7" t="s">
        <x:v>985</x:v>
      </x:c>
      <x:c r="S14" s="15" t="s">
        <x:v>977</x:v>
      </x:c>
      <x:c r="T14" s="7"/>
      <x:c r="U14" t="str">
        <x:v>modified</x:v>
      </x:c>
      <x:c r="V14" s="63" t="str">
        <x:v>Engineered pore-loop variant S3E; exact changed residues are not specified in the assembly record.</x:v>
      </x:c>
      <x:c r="W14" t="str">
        <x:v>Q9WZP2_T1_empty</x:v>
      </x:c>
      <x:c r="X14" s="63" t="str">
        <x:v>186–188</x:v>
      </x:c>
      <x:c r="Y14" s="98" t="str">
        <x:v>GHY</x:v>
      </x:c>
      <x:c r="Z14" s="100" t="str">
        <x:v>EEE</x:v>
      </x:c>
      <x:c r="AA14" s="63" t="str">
        <x:v>Protein alignment of curated design vs WT reference; reference numbering is 1-based. The NLBT-tagged published coding source is not asserted to be identical to the structural construct.</x:v>
      </x:c>
    </x:row>
    <x:row r="15" ht="59.95000076293945" customHeight="1">
      <x:c r="A15" s="14" t="s">
        <x:v>986</x:v>
      </x:c>
      <x:c r="B15" s="16" t="s">
        <x:v>135</x:v>
      </x:c>
      <x:c r="C15" s="10" t="s">
        <x:v>987</x:v>
      </x:c>
      <x:c r="D15" s="10" t="s">
        <x:v>923</x:v>
      </x:c>
      <x:c r="E15" s="10" t="s">
        <x:v>898</x:v>
      </x:c>
      <x:c r="F15" s="10">
        <x:v>1</x:v>
      </x:c>
      <x:c r="G15" s="10" t="s">
        <x:v>964</x:v>
      </x:c>
      <x:c r="H15" s="10">
        <x:v>60</x:v>
      </x:c>
      <x:c r="I15" s="10">
        <x:v>24</x:v>
      </x:c>
      <x:c r="J15" s="10"/>
      <x:c r="K15" s="10"/>
      <x:c r="L15" s="10"/>
      <x:c r="M15" s="10"/>
      <x:c r="N15" s="10" t="s">
        <x:v>942</x:v>
      </x:c>
      <x:c r="O15" s="10" t="s">
        <x:v>973</x:v>
      </x:c>
      <x:c r="P15" s="10" t="s">
        <x:v>988</x:v>
      </x:c>
      <x:c r="Q15" s="10" t="s">
        <x:v>975</x:v>
      </x:c>
      <x:c r="R15" s="10" t="s">
        <x:v>989</x:v>
      </x:c>
      <x:c r="S15" s="16" t="s">
        <x:v>977</x:v>
      </x:c>
      <x:c r="T15" s="10"/>
      <x:c r="U15" t="str">
        <x:v>modified</x:v>
      </x:c>
      <x:c r="V15" s="63" t="str">
        <x:v>Engineered pore-loop variant S5D; exact changed residues are not specified in the assembly record.</x:v>
      </x:c>
      <x:c r="W15" t="str">
        <x:v>Q9WZP2_T1_empty</x:v>
      </x:c>
      <x:c r="X15" s="63" t="str">
        <x:v>184–189</x:v>
      </x:c>
      <x:c r="Y15" s="98" t="str">
        <x:v>EAGHYP</x:v>
      </x:c>
      <x:c r="Z15" s="100" t="str">
        <x:v>DD</x:v>
      </x:c>
      <x:c r="AA15" s="63" t="str">
        <x:v>Protein alignment of curated design vs WT reference; reference numbering is 1-based. The NLBT-tagged published coding source is not asserted to be identical to the structural construct.</x:v>
      </x:c>
    </x:row>
    <x:row r="16" ht="59.95000076293945" customHeight="1">
      <x:c r="A16" s="13" t="s">
        <x:v>990</x:v>
      </x:c>
      <x:c r="B16" s="15" t="s">
        <x:v>135</x:v>
      </x:c>
      <x:c r="C16" s="7" t="s">
        <x:v>991</x:v>
      </x:c>
      <x:c r="D16" s="7" t="s">
        <x:v>923</x:v>
      </x:c>
      <x:c r="E16" s="7" t="s">
        <x:v>898</x:v>
      </x:c>
      <x:c r="F16" s="7">
        <x:v>1</x:v>
      </x:c>
      <x:c r="G16" s="7" t="s">
        <x:v>964</x:v>
      </x:c>
      <x:c r="H16" s="7">
        <x:v>60</x:v>
      </x:c>
      <x:c r="I16" s="7">
        <x:v>24</x:v>
      </x:c>
      <x:c r="J16" s="7"/>
      <x:c r="K16" s="7"/>
      <x:c r="L16" s="7"/>
      <x:c r="M16" s="7"/>
      <x:c r="N16" s="7" t="s">
        <x:v>942</x:v>
      </x:c>
      <x:c r="O16" s="7" t="s">
        <x:v>973</x:v>
      </x:c>
      <x:c r="P16" s="7" t="s">
        <x:v>992</x:v>
      </x:c>
      <x:c r="Q16" s="7" t="s">
        <x:v>975</x:v>
      </x:c>
      <x:c r="R16" s="7" t="s">
        <x:v>993</x:v>
      </x:c>
      <x:c r="S16" s="15" t="s">
        <x:v>977</x:v>
      </x:c>
      <x:c r="T16" s="7"/>
      <x:c r="U16" t="str">
        <x:v>modified</x:v>
      </x:c>
      <x:c r="V16" s="63" t="str">
        <x:v>Engineered pore-loop variant S6E; exact changed residues are not specified in the assembly record.</x:v>
      </x:c>
      <x:c r="W16" t="str">
        <x:v>Q9WZP2_T1_empty</x:v>
      </x:c>
      <x:c r="X16" s="63" t="str">
        <x:v>185–191</x:v>
      </x:c>
      <x:c r="Y16" s="98" t="str">
        <x:v>AGHYPLE</x:v>
      </x:c>
      <x:c r="Z16" s="100" t="str"/>
      <x:c r="AA16" s="63" t="str">
        <x:v>Protein alignment of curated design vs WT reference; reference numbering is 1-based. The NLBT-tagged published coding source is not asserted to be identical to the structural construct.</x:v>
      </x:c>
    </x:row>
    <x:row r="17" ht="59.95000076293945" customHeight="1">
      <x:c r="A17" s="14" t="s">
        <x:v>994</x:v>
      </x:c>
      <x:c r="B17" s="16" t="s">
        <x:v>135</x:v>
      </x:c>
      <x:c r="C17" s="10" t="s">
        <x:v>995</x:v>
      </x:c>
      <x:c r="D17" s="10" t="s">
        <x:v>923</x:v>
      </x:c>
      <x:c r="E17" s="10" t="s">
        <x:v>898</x:v>
      </x:c>
      <x:c r="F17" s="10">
        <x:v>1</x:v>
      </x:c>
      <x:c r="G17" s="10" t="s">
        <x:v>964</x:v>
      </x:c>
      <x:c r="H17" s="10">
        <x:v>60</x:v>
      </x:c>
      <x:c r="I17" s="10">
        <x:v>24</x:v>
      </x:c>
      <x:c r="J17" s="10"/>
      <x:c r="K17" s="10"/>
      <x:c r="L17" s="10"/>
      <x:c r="M17" s="10"/>
      <x:c r="N17" s="10" t="s">
        <x:v>942</x:v>
      </x:c>
      <x:c r="O17" s="10" t="s">
        <x:v>973</x:v>
      </x:c>
      <x:c r="P17" s="10" t="s">
        <x:v>996</x:v>
      </x:c>
      <x:c r="Q17" s="10" t="s">
        <x:v>975</x:v>
      </x:c>
      <x:c r="R17" s="10" t="s">
        <x:v>997</x:v>
      </x:c>
      <x:c r="S17" s="16" t="s">
        <x:v>977</x:v>
      </x:c>
      <x:c r="T17" s="10"/>
      <x:c r="U17" t="str">
        <x:v>modified</x:v>
      </x:c>
      <x:c r="V17" s="63" t="str">
        <x:v>Engineered pore-loop variant S7D; exact changed residues are not specified in the assembly record.</x:v>
      </x:c>
      <x:c r="W17" t="str">
        <x:v>Q9WZP2_T1_empty</x:v>
      </x:c>
      <x:c r="X17" s="63" t="str">
        <x:v>182–190</x:v>
      </x:c>
      <x:c r="Y17" s="98" t="str">
        <x:v>KEEAGHYPL</x:v>
      </x:c>
      <x:c r="Z17" s="100" t="str">
        <x:v>DD</x:v>
      </x:c>
      <x:c r="AA17" s="63" t="str">
        <x:v>Protein alignment of curated design vs WT reference; reference numbering is 1-based. The NLBT-tagged published coding source is not asserted to be identical to the structural construct.</x:v>
      </x:c>
    </x:row>
    <x:row r="18" ht="73.1500015258789" customHeight="1">
      <x:c r="A18" s="13" t="s">
        <x:v>998</x:v>
      </x:c>
      <x:c r="B18" s="15" t="s">
        <x:v>135</x:v>
      </x:c>
      <x:c r="C18" s="7" t="s">
        <x:v>999</x:v>
      </x:c>
      <x:c r="D18" s="7" t="s">
        <x:v>923</x:v>
      </x:c>
      <x:c r="E18" s="7" t="s">
        <x:v>898</x:v>
      </x:c>
      <x:c r="F18" s="7">
        <x:v>1</x:v>
      </x:c>
      <x:c r="G18" s="7" t="s">
        <x:v>964</x:v>
      </x:c>
      <x:c r="H18" s="7">
        <x:v>60</x:v>
      </x:c>
      <x:c r="I18" s="7">
        <x:v>24</x:v>
      </x:c>
      <x:c r="J18" s="7"/>
      <x:c r="K18" s="7"/>
      <x:c r="L18" s="7"/>
      <x:c r="M18" s="7"/>
      <x:c r="N18" s="7" t="s">
        <x:v>942</x:v>
      </x:c>
      <x:c r="O18" s="7" t="s">
        <x:v>973</x:v>
      </x:c>
      <x:c r="P18" s="7" t="s">
        <x:v>1000</x:v>
      </x:c>
      <x:c r="Q18" s="7" t="s">
        <x:v>1001</x:v>
      </x:c>
      <x:c r="R18" s="7" t="s">
        <x:v>1002</x:v>
      </x:c>
      <x:c r="S18" s="15" t="s">
        <x:v>1003</x:v>
      </x:c>
      <x:c r="T18" s="7"/>
      <x:c r="U18" t="str">
        <x:v>modified</x:v>
      </x:c>
      <x:c r="V18" s="63" t="str">
        <x:v>Engineered pore-loop variant S7G; exact changed residues are not specified in the assembly record.</x:v>
      </x:c>
      <x:c r="W18" t="str">
        <x:v>Q9WZP2_T1_empty</x:v>
      </x:c>
      <x:c r="X18" s="63" t="str">
        <x:v>182–190</x:v>
      </x:c>
      <x:c r="Y18" s="98" t="str">
        <x:v>KEEAGHYPL</x:v>
      </x:c>
      <x:c r="Z18" s="100" t="str">
        <x:v>GG</x:v>
      </x:c>
      <x:c r="AA18" s="63" t="str">
        <x:v>Protein alignment of curated design vs WT reference; reference numbering is 1-based. The NLBT-tagged published coding source is not asserted to be identical to the structural construct.</x:v>
      </x:c>
    </x:row>
    <x:row r="19" ht="126.4000015258789" customHeight="1">
      <x:c r="A19" s="14" t="s">
        <x:v>156</x:v>
      </x:c>
      <x:c r="B19" s="16" t="s">
        <x:v>150</x:v>
      </x:c>
      <x:c r="C19" s="10" t="s">
        <x:v>955</x:v>
      </x:c>
      <x:c r="D19" s="10" t="s">
        <x:v>897</x:v>
      </x:c>
      <x:c r="E19" s="10" t="s">
        <x:v>898</x:v>
      </x:c>
      <x:c r="F19" s="10">
        <x:v>1</x:v>
      </x:c>
      <x:c r="G19" s="10" t="s">
        <x:v>899</x:v>
      </x:c>
      <x:c r="H19" s="10">
        <x:v>60</x:v>
      </x:c>
      <x:c r="I19" s="10">
        <x:v>23</x:v>
      </x:c>
      <x:c r="J19" s="10">
        <x:v>19</x:v>
      </x:c>
      <x:c r="K19" s="10"/>
      <x:c r="L19" s="10"/>
      <x:c r="M19" s="10"/>
      <x:c r="N19" s="10" t="s">
        <x:v>1004</x:v>
      </x:c>
      <x:c r="O19" s="10" t="s">
        <x:v>966</x:v>
      </x:c>
      <x:c r="P19" s="10" t="s">
        <x:v>1005</x:v>
      </x:c>
      <x:c r="Q19" s="10" t="s">
        <x:v>1006</x:v>
      </x:c>
      <x:c r="R19" s="10" t="s">
        <x:v>1007</x:v>
      </x:c>
      <x:c r="S19" s="16" t="s">
        <x:v>1008</x:v>
      </x:c>
      <x:c r="T19" s="10"/>
      <x:c r="U19" t="str">
        <x:v>unmodified</x:v>
      </x:c>
      <x:c r="V19" s="63" t="str">
        <x:v>No engineered alteration of the WT shell protein is recorded for this assembly.</x:v>
      </x:c>
      <x:c r="W19" t="str">
        <x:v>I6WZG6_ref</x:v>
      </x:c>
      <x:c r="X19" s="63"/>
      <x:c r="Y19" s="98"/>
      <x:c r="Z19" s="100"/>
      <x:c r="AA19" s="63"/>
    </x:row>
    <x:row r="20" ht="113.0999984741211" customHeight="1">
      <x:c r="A20" s="13" t="s">
        <x:v>1009</x:v>
      </x:c>
      <x:c r="B20" s="15" t="s">
        <x:v>150</x:v>
      </x:c>
      <x:c r="C20" s="7" t="s">
        <x:v>1010</x:v>
      </x:c>
      <x:c r="D20" s="7" t="s">
        <x:v>923</x:v>
      </x:c>
      <x:c r="E20" s="7" t="s">
        <x:v>898</x:v>
      </x:c>
      <x:c r="F20" s="7">
        <x:v>1</x:v>
      </x:c>
      <x:c r="G20" s="7" t="s">
        <x:v>964</x:v>
      </x:c>
      <x:c r="H20" s="7">
        <x:v>60</x:v>
      </x:c>
      <x:c r="I20" s="7">
        <x:v>22</x:v>
      </x:c>
      <x:c r="J20" s="7"/>
      <x:c r="K20" s="25" t="s">
        <x:v>1011</x:v>
      </x:c>
      <x:c r="L20" s="7"/>
      <x:c r="M20" s="7"/>
      <x:c r="N20" s="7" t="s">
        <x:v>1012</x:v>
      </x:c>
      <x:c r="O20" s="7" t="s">
        <x:v>1013</x:v>
      </x:c>
      <x:c r="P20" s="7"/>
      <x:c r="Q20" s="7" t="s">
        <x:v>1014</x:v>
      </x:c>
      <x:c r="R20" s="7" t="s">
        <x:v>1015</x:v>
      </x:c>
      <x:c r="S20" s="15" t="s">
        <x:v>1016</x:v>
      </x:c>
      <x:c r="T20" s="7"/>
      <x:c r="U20" t="str">
        <x:v>modified</x:v>
      </x:c>
      <x:c r="V20" s="63" t="str">
        <x:v>C-terminal His-tag appended to the shell protein.</x:v>
      </x:c>
      <x:c r="W20" t="str">
        <x:v>I6WZG6_ref</x:v>
      </x:c>
      <x:c r="X20" s="63" t="str">
        <x:v>C-terminus, after position 265</x:v>
      </x:c>
      <x:c r="Y20" s="98"/>
      <x:c r="Z20" s="100"/>
      <x:c r="AA20" s="63" t="str">
        <x:v>C-terminal His-tag reported; exact tag residues and complete construct sequence not recovered. Position follows reference shell length.</x:v>
      </x:c>
    </x:row>
    <x:row r="21" ht="179.64999389648438" customHeight="1">
      <x:c r="A21" s="14" t="s">
        <x:v>1017</x:v>
      </x:c>
      <x:c r="B21" s="16" t="s">
        <x:v>150</x:v>
      </x:c>
      <x:c r="C21" s="10" t="s">
        <x:v>955</x:v>
      </x:c>
      <x:c r="D21" s="10" t="s">
        <x:v>897</x:v>
      </x:c>
      <x:c r="E21" s="10" t="s">
        <x:v>898</x:v>
      </x:c>
      <x:c r="F21" s="10">
        <x:v>1</x:v>
      </x:c>
      <x:c r="G21" s="10" t="s">
        <x:v>964</x:v>
      </x:c>
      <x:c r="H21" s="10">
        <x:v>60</x:v>
      </x:c>
      <x:c r="I21" s="10">
        <x:v>25</x:v>
      </x:c>
      <x:c r="J21" s="10"/>
      <x:c r="K21" s="10"/>
      <x:c r="L21" s="10"/>
      <x:c r="M21" s="10"/>
      <x:c r="N21" s="10" t="s">
        <x:v>1018</x:v>
      </x:c>
      <x:c r="O21" s="10" t="s">
        <x:v>1019</x:v>
      </x:c>
      <x:c r="P21" s="10" t="s">
        <x:v>1020</x:v>
      </x:c>
      <x:c r="Q21" s="10" t="s">
        <x:v>1021</x:v>
      </x:c>
      <x:c r="R21" s="10" t="s">
        <x:v>1022</x:v>
      </x:c>
      <x:c r="S21" s="16" t="s">
        <x:v>1023</x:v>
      </x:c>
      <x:c r="T21" s="10"/>
      <x:c r="U21" t="str">
        <x:v>unmodified</x:v>
      </x:c>
      <x:c r="V21" s="63" t="str">
        <x:v>No engineered alteration of the WT shell protein is recorded for this assembly.</x:v>
      </x:c>
      <x:c r="W21" t="str">
        <x:v>I6WZG6_ref</x:v>
      </x:c>
      <x:c r="X21" s="63"/>
      <x:c r="Y21" s="98"/>
      <x:c r="Z21" s="100"/>
      <x:c r="AA21" s="63"/>
    </x:row>
    <x:row r="22" ht="73.1500015258789" customHeight="1">
      <x:c r="A22" s="13" t="s">
        <x:v>1024</x:v>
      </x:c>
      <x:c r="B22" s="15" t="s">
        <x:v>150</x:v>
      </x:c>
      <x:c r="C22" s="7" t="s">
        <x:v>955</x:v>
      </x:c>
      <x:c r="D22" s="7" t="s">
        <x:v>897</x:v>
      </x:c>
      <x:c r="E22" s="7" t="s">
        <x:v>1025</x:v>
      </x:c>
      <x:c r="F22" s="7"/>
      <x:c r="G22" s="7" t="s">
        <x:v>934</x:v>
      </x:c>
      <x:c r="H22" s="7">
        <x:v>48</x:v>
      </x:c>
      <x:c r="I22" s="7"/>
      <x:c r="J22" s="7"/>
      <x:c r="K22" s="7"/>
      <x:c r="L22" s="7"/>
      <x:c r="M22" s="7"/>
      <x:c r="N22" s="7" t="s">
        <x:v>1026</x:v>
      </x:c>
      <x:c r="O22" s="7" t="s">
        <x:v>966</x:v>
      </x:c>
      <x:c r="P22" s="7" t="s">
        <x:v>1027</x:v>
      </x:c>
      <x:c r="Q22" s="7" t="s">
        <x:v>1028</x:v>
      </x:c>
      <x:c r="R22" s="7" t="s">
        <x:v>1029</x:v>
      </x:c>
      <x:c r="S22" s="15" t="s">
        <x:v>1008</x:v>
      </x:c>
      <x:c r="T22" s="7"/>
      <x:c r="U22" t="str">
        <x:v>unmodified</x:v>
      </x:c>
      <x:c r="V22" s="63" t="str">
        <x:v>No engineered alteration of the WT shell protein is recorded for this assembly.</x:v>
      </x:c>
      <x:c r="W22" t="str">
        <x:v>I6WZG6_ref</x:v>
      </x:c>
      <x:c r="X22" s="63"/>
      <x:c r="Y22" s="98"/>
      <x:c r="Z22" s="100"/>
      <x:c r="AA22" s="63"/>
    </x:row>
    <x:row r="23" ht="59.95000076293945" customHeight="1">
      <x:c r="A23" s="14" t="s">
        <x:v>1030</x:v>
      </x:c>
      <x:c r="B23" s="16" t="s">
        <x:v>150</x:v>
      </x:c>
      <x:c r="C23" s="10" t="s">
        <x:v>955</x:v>
      </x:c>
      <x:c r="D23" s="10" t="s">
        <x:v>897</x:v>
      </x:c>
      <x:c r="E23" s="10" t="s">
        <x:v>1025</x:v>
      </x:c>
      <x:c r="F23" s="10"/>
      <x:c r="G23" s="10" t="s">
        <x:v>934</x:v>
      </x:c>
      <x:c r="H23" s="10">
        <x:v>52</x:v>
      </x:c>
      <x:c r="I23" s="10"/>
      <x:c r="J23" s="10"/>
      <x:c r="K23" s="10"/>
      <x:c r="L23" s="10"/>
      <x:c r="M23" s="10"/>
      <x:c r="N23" s="10" t="s">
        <x:v>1026</x:v>
      </x:c>
      <x:c r="O23" s="10" t="s">
        <x:v>966</x:v>
      </x:c>
      <x:c r="P23" s="10" t="s">
        <x:v>1031</x:v>
      </x:c>
      <x:c r="Q23" s="10" t="s">
        <x:v>1028</x:v>
      </x:c>
      <x:c r="R23" s="10" t="s">
        <x:v>1032</x:v>
      </x:c>
      <x:c r="S23" s="16" t="s">
        <x:v>1008</x:v>
      </x:c>
      <x:c r="T23" s="10"/>
      <x:c r="U23" t="str">
        <x:v>unmodified</x:v>
      </x:c>
      <x:c r="V23" s="63" t="str">
        <x:v>No engineered alteration of the WT shell protein is recorded for this assembly.</x:v>
      </x:c>
      <x:c r="W23" t="str">
        <x:v>I6WZG6_ref</x:v>
      </x:c>
      <x:c r="X23" s="63"/>
      <x:c r="Y23" s="98"/>
      <x:c r="Z23" s="100"/>
      <x:c r="AA23" s="63"/>
    </x:row>
    <x:row r="24" ht="73.1500015258789" customHeight="1">
      <x:c r="A24" s="13" t="s">
        <x:v>1033</x:v>
      </x:c>
      <x:c r="B24" s="15" t="s">
        <x:v>150</x:v>
      </x:c>
      <x:c r="C24" s="7" t="s">
        <x:v>955</x:v>
      </x:c>
      <x:c r="D24" s="7" t="s">
        <x:v>897</x:v>
      </x:c>
      <x:c r="E24" s="7" t="s">
        <x:v>1025</x:v>
      </x:c>
      <x:c r="F24" s="7"/>
      <x:c r="G24" s="7" t="s">
        <x:v>934</x:v>
      </x:c>
      <x:c r="H24" s="7">
        <x:v>54</x:v>
      </x:c>
      <x:c r="I24" s="7"/>
      <x:c r="J24" s="7"/>
      <x:c r="K24" s="7"/>
      <x:c r="L24" s="7"/>
      <x:c r="M24" s="7"/>
      <x:c r="N24" s="7" t="s">
        <x:v>1026</x:v>
      </x:c>
      <x:c r="O24" s="7" t="s">
        <x:v>966</x:v>
      </x:c>
      <x:c r="P24" s="7" t="s">
        <x:v>1034</x:v>
      </x:c>
      <x:c r="Q24" s="7" t="s">
        <x:v>1028</x:v>
      </x:c>
      <x:c r="R24" s="7" t="s">
        <x:v>1035</x:v>
      </x:c>
      <x:c r="S24" s="15" t="s">
        <x:v>1008</x:v>
      </x:c>
      <x:c r="T24" s="7"/>
      <x:c r="U24" t="str">
        <x:v>unmodified</x:v>
      </x:c>
      <x:c r="V24" s="63" t="str">
        <x:v>No engineered alteration of the WT shell protein is recorded for this assembly.</x:v>
      </x:c>
      <x:c r="W24" t="str">
        <x:v>I6WZG6_ref</x:v>
      </x:c>
      <x:c r="X24" s="63"/>
      <x:c r="Y24" s="98"/>
      <x:c r="Z24" s="100"/>
      <x:c r="AA24" s="63"/>
    </x:row>
    <x:row r="25" ht="113.0999984741211" customHeight="1">
      <x:c r="A25" s="14" t="s">
        <x:v>1036</x:v>
      </x:c>
      <x:c r="B25" s="16" t="s">
        <x:v>164</x:v>
      </x:c>
      <x:c r="C25" s="10" t="s">
        <x:v>955</x:v>
      </x:c>
      <x:c r="D25" s="10" t="s">
        <x:v>897</x:v>
      </x:c>
      <x:c r="E25" s="10" t="s">
        <x:v>898</x:v>
      </x:c>
      <x:c r="F25" s="10">
        <x:v>4</x:v>
      </x:c>
      <x:c r="G25" s="10" t="s">
        <x:v>899</x:v>
      </x:c>
      <x:c r="H25" s="10">
        <x:v>240</x:v>
      </x:c>
      <x:c r="I25" s="10">
        <x:v>42</x:v>
      </x:c>
      <x:c r="J25" s="10"/>
      <x:c r="K25" s="10"/>
      <x:c r="L25" s="10"/>
      <x:c r="M25" s="10" t="s">
        <x:v>1037</x:v>
      </x:c>
      <x:c r="N25" s="10" t="s">
        <x:v>1038</x:v>
      </x:c>
      <x:c r="O25" s="10" t="s">
        <x:v>1039</x:v>
      </x:c>
      <x:c r="P25" s="10" t="s">
        <x:v>1040</x:v>
      </x:c>
      <x:c r="Q25" s="10" t="s">
        <x:v>1041</x:v>
      </x:c>
      <x:c r="R25" s="10" t="s">
        <x:v>1042</x:v>
      </x:c>
      <x:c r="S25" s="16" t="s">
        <x:v>177</x:v>
      </x:c>
      <x:c r="T25" s="10"/>
      <x:c r="U25" t="str">
        <x:v>unmodified</x:v>
      </x:c>
      <x:c r="V25" s="63" t="str">
        <x:v>No engineered alteration of the WT shell protein is recorded for this assembly.</x:v>
      </x:c>
      <x:c r="W25" t="str">
        <x:v>A0A0F5HPP7_T4_empty</x:v>
      </x:c>
      <x:c r="X25" s="63"/>
      <x:c r="Y25" s="98"/>
      <x:c r="Z25" s="100"/>
      <x:c r="AA25" s="63"/>
    </x:row>
    <x:row r="26" ht="73.1500015258789" customHeight="1">
      <x:c r="A26" s="13" t="s">
        <x:v>1043</x:v>
      </x:c>
      <x:c r="B26" s="15" t="s">
        <x:v>164</x:v>
      </x:c>
      <x:c r="C26" s="7" t="s">
        <x:v>955</x:v>
      </x:c>
      <x:c r="D26" s="7" t="s">
        <x:v>897</x:v>
      </x:c>
      <x:c r="E26" s="7" t="s">
        <x:v>898</x:v>
      </x:c>
      <x:c r="F26" s="7">
        <x:v>4</x:v>
      </x:c>
      <x:c r="G26" s="7" t="s">
        <x:v>899</x:v>
      </x:c>
      <x:c r="H26" s="7">
        <x:v>240</x:v>
      </x:c>
      <x:c r="I26" s="7">
        <x:v>43</x:v>
      </x:c>
      <x:c r="J26" s="7"/>
      <x:c r="K26" s="7"/>
      <x:c r="L26" s="7"/>
      <x:c r="M26" s="7" t="s">
        <x:v>1044</x:v>
      </x:c>
      <x:c r="N26" s="7" t="s">
        <x:v>1045</x:v>
      </x:c>
      <x:c r="O26" s="7" t="s">
        <x:v>1039</x:v>
      </x:c>
      <x:c r="P26" s="7"/>
      <x:c r="Q26" s="7" t="s">
        <x:v>1046</x:v>
      </x:c>
      <x:c r="R26" s="7" t="s">
        <x:v>1047</x:v>
      </x:c>
      <x:c r="S26" s="15" t="s">
        <x:v>1048</x:v>
      </x:c>
      <x:c r="T26" s="7"/>
      <x:c r="U26" t="str">
        <x:v>unmodified</x:v>
      </x:c>
      <x:c r="V26" s="63" t="str">
        <x:v>No engineered alteration of the WT shell protein is recorded for this assembly.</x:v>
      </x:c>
      <x:c r="W26" t="str">
        <x:v>A0A0F5HPP7_T4_empty</x:v>
      </x:c>
      <x:c r="X26" s="63"/>
      <x:c r="Y26" s="98"/>
      <x:c r="Z26" s="100"/>
      <x:c r="AA26" s="63"/>
    </x:row>
    <x:row r="27" ht="86.55000305175781" customHeight="1">
      <x:c r="A27" s="14" t="s">
        <x:v>1049</x:v>
      </x:c>
      <x:c r="B27" s="16" t="s">
        <x:v>164</x:v>
      </x:c>
      <x:c r="C27" s="10" t="s">
        <x:v>955</x:v>
      </x:c>
      <x:c r="D27" s="10" t="s">
        <x:v>897</x:v>
      </x:c>
      <x:c r="E27" s="10" t="s">
        <x:v>898</x:v>
      </x:c>
      <x:c r="F27" s="10">
        <x:v>4</x:v>
      </x:c>
      <x:c r="G27" s="10" t="s">
        <x:v>899</x:v>
      </x:c>
      <x:c r="H27" s="10">
        <x:v>240</x:v>
      </x:c>
      <x:c r="I27" s="10"/>
      <x:c r="J27" s="10"/>
      <x:c r="K27" s="10"/>
      <x:c r="L27" s="10"/>
      <x:c r="M27" s="10"/>
      <x:c r="N27" s="10" t="s">
        <x:v>1050</x:v>
      </x:c>
      <x:c r="O27" s="10" t="s">
        <x:v>966</x:v>
      </x:c>
      <x:c r="P27" s="10" t="s">
        <x:v>1051</x:v>
      </x:c>
      <x:c r="Q27" s="10" t="s">
        <x:v>1052</x:v>
      </x:c>
      <x:c r="R27" s="10" t="s">
        <x:v>1053</x:v>
      </x:c>
      <x:c r="S27" s="16" t="s">
        <x:v>1054</x:v>
      </x:c>
      <x:c r="T27" s="10"/>
      <x:c r="U27" t="str">
        <x:v>unmodified</x:v>
      </x:c>
      <x:c r="V27" s="63" t="str">
        <x:v>No engineered alteration of the WT shell protein is recorded for this assembly.</x:v>
      </x:c>
      <x:c r="W27" t="str">
        <x:v>A0A0F5HPP7_T4_empty</x:v>
      </x:c>
      <x:c r="X27" s="63"/>
      <x:c r="Y27" s="98"/>
      <x:c r="Z27" s="100"/>
      <x:c r="AA27" s="63"/>
    </x:row>
    <x:row r="28" ht="86.55000305175781" customHeight="1">
      <x:c r="A28" s="13" t="s">
        <x:v>1055</x:v>
      </x:c>
      <x:c r="B28" s="15" t="s">
        <x:v>164</x:v>
      </x:c>
      <x:c r="C28" s="7" t="s">
        <x:v>1056</x:v>
      </x:c>
      <x:c r="D28" s="7" t="s">
        <x:v>923</x:v>
      </x:c>
      <x:c r="E28" s="7" t="s">
        <x:v>898</x:v>
      </x:c>
      <x:c r="F28" s="7">
        <x:v>4</x:v>
      </x:c>
      <x:c r="G28" s="7" t="s">
        <x:v>899</x:v>
      </x:c>
      <x:c r="H28" s="7">
        <x:v>240</x:v>
      </x:c>
      <x:c r="I28" s="7">
        <x:v>42</x:v>
      </x:c>
      <x:c r="J28" s="7"/>
      <x:c r="K28" s="7"/>
      <x:c r="L28" s="7"/>
      <x:c r="M28" s="7"/>
      <x:c r="N28" s="7" t="s">
        <x:v>1057</x:v>
      </x:c>
      <x:c r="O28" s="7" t="s">
        <x:v>1058</x:v>
      </x:c>
      <x:c r="P28" s="7" t="s">
        <x:v>1059</x:v>
      </x:c>
      <x:c r="Q28" s="7" t="s">
        <x:v>1060</x:v>
      </x:c>
      <x:c r="R28" s="7" t="s">
        <x:v>1061</x:v>
      </x:c>
      <x:c r="S28" s="15" t="s">
        <x:v>1062</x:v>
      </x:c>
      <x:c r="T28" s="7"/>
      <x:c r="U28" t="str">
        <x:v>modified</x:v>
      </x:c>
      <x:c r="V28" s="63" t="str">
        <x:v>Engineered E-loop insertion (T4GALA variant).</x:v>
      </x:c>
      <x:c r="W28" t="str">
        <x:v>A0A0F5HPP7_T4_empty</x:v>
      </x:c>
      <x:c r="X28" s="63" t="str">
        <x:v>After position 61 (inserted residues 62–83)</x:v>
      </x:c>
      <x:c r="Y28" s="98"/>
      <x:c r="Z28" s="100" t="str">
        <x:v>GGGEALAEALAEALAEALAGGG</x:v>
      </x:c>
      <x:c r="AA28" s="63" t="str">
        <x:v>22-aa insertion aligned from the curated T4GALA design to 282-aa WT QtEnc reference; not a claim of experimentally verified plasmid identity.</x:v>
      </x:c>
    </x:row>
    <x:row r="29" ht="73.1500015258789" customHeight="1">
      <x:c r="A29" s="14" t="s">
        <x:v>1063</x:v>
      </x:c>
      <x:c r="B29" s="16" t="s">
        <x:v>164</x:v>
      </x:c>
      <x:c r="C29" s="10" t="s">
        <x:v>1064</x:v>
      </x:c>
      <x:c r="D29" s="10" t="s">
        <x:v>923</x:v>
      </x:c>
      <x:c r="E29" s="10" t="s">
        <x:v>898</x:v>
      </x:c>
      <x:c r="F29" s="10">
        <x:v>4</x:v>
      </x:c>
      <x:c r="G29" s="10" t="s">
        <x:v>899</x:v>
      </x:c>
      <x:c r="H29" s="10">
        <x:v>240</x:v>
      </x:c>
      <x:c r="I29" s="10"/>
      <x:c r="J29" s="10"/>
      <x:c r="K29" s="10"/>
      <x:c r="L29" s="10"/>
      <x:c r="M29" s="10"/>
      <x:c r="N29" s="10" t="s">
        <x:v>1065</x:v>
      </x:c>
      <x:c r="O29" s="10" t="s">
        <x:v>1066</x:v>
      </x:c>
      <x:c r="P29" s="10" t="s">
        <x:v>1067</x:v>
      </x:c>
      <x:c r="Q29" s="10" t="s">
        <x:v>1068</x:v>
      </x:c>
      <x:c r="R29" s="10" t="s">
        <x:v>1069</x:v>
      </x:c>
      <x:c r="S29" s="16" t="s">
        <x:v>1070</x:v>
      </x:c>
      <x:c r="T29" s="10"/>
      <x:c r="U29" t="str">
        <x:v>modified</x:v>
      </x:c>
      <x:c r="V29" s="63" t="str">
        <x:v>9-residue pore-loop deletion (Glass9 variant).</x:v>
      </x:c>
      <x:c r="W29" t="str">
        <x:v>A0A0F5HPP7_T4_empty</x:v>
      </x:c>
      <x:c r="X29" s="63" t="str">
        <x:v>195–209</x:v>
      </x:c>
      <x:c r="Y29" s="98" t="str">
        <x:v>VHKDTNVLEIEHVRE</x:v>
      </x:c>
      <x:c r="Z29" s="100" t="str">
        <x:v>GSGGSG</x:v>
      </x:c>
      <x:c r="AA29" s="63" t="str">
        <x:v>Curated Glass9 protein vs WT reference: 15 aa replaced by 6 aa, net shortening of 9 residues.</x:v>
      </x:c>
    </x:row>
    <x:row r="30" ht="59.95000076293945" customHeight="1">
      <x:c r="A30" s="13" t="s">
        <x:v>1071</x:v>
      </x:c>
      <x:c r="B30" s="15" t="s">
        <x:v>164</x:v>
      </x:c>
      <x:c r="C30" s="7" t="s">
        <x:v>1072</x:v>
      </x:c>
      <x:c r="D30" s="7" t="s">
        <x:v>923</x:v>
      </x:c>
      <x:c r="E30" s="7" t="s">
        <x:v>898</x:v>
      </x:c>
      <x:c r="F30" s="7">
        <x:v>4</x:v>
      </x:c>
      <x:c r="G30" s="7" t="s">
        <x:v>899</x:v>
      </x:c>
      <x:c r="H30" s="7">
        <x:v>240</x:v>
      </x:c>
      <x:c r="I30" s="7"/>
      <x:c r="J30" s="7"/>
      <x:c r="K30" s="7"/>
      <x:c r="L30" s="7"/>
      <x:c r="M30" s="7"/>
      <x:c r="N30" s="7" t="s">
        <x:v>1073</x:v>
      </x:c>
      <x:c r="O30" s="7" t="s">
        <x:v>1066</x:v>
      </x:c>
      <x:c r="P30" s="7" t="s">
        <x:v>1074</x:v>
      </x:c>
      <x:c r="Q30" s="7" t="s">
        <x:v>1068</x:v>
      </x:c>
      <x:c r="R30" s="7" t="s">
        <x:v>1075</x:v>
      </x:c>
      <x:c r="S30" s="15" t="s">
        <x:v>1070</x:v>
      </x:c>
      <x:c r="T30" s="7"/>
      <x:c r="U30" t="str">
        <x:v>modified</x:v>
      </x:c>
      <x:c r="V30" s="63" t="str">
        <x:v>11-residue pore-loop deletion (Letter11 variant; same shell sequence as T=3).</x:v>
      </x:c>
      <x:c r="W30" t="str">
        <x:v>A0A0F5HPP7_T4_empty</x:v>
      </x:c>
      <x:c r="X30" s="63" t="str">
        <x:v>193–209</x:v>
      </x:c>
      <x:c r="Y30" s="98" t="str">
        <x:v>HRVHKDTNVLEIEHVRE</x:v>
      </x:c>
      <x:c r="Z30" s="100" t="str">
        <x:v>GSGGSG</x:v>
      </x:c>
      <x:c r="AA30" s="63" t="str">
        <x:v>Curated Letter11 protein vs WT reference: 17 aa replaced by 6 aa, net shortening of 11 residues; same sequence for T=3 and T=4.</x:v>
      </x:c>
    </x:row>
    <x:row r="31" ht="73.1500015258789" customHeight="1">
      <x:c r="A31" s="14" t="s">
        <x:v>1076</x:v>
      </x:c>
      <x:c r="B31" s="16" t="s">
        <x:v>164</x:v>
      </x:c>
      <x:c r="C31" s="10" t="s">
        <x:v>1072</x:v>
      </x:c>
      <x:c r="D31" s="10" t="s">
        <x:v>923</x:v>
      </x:c>
      <x:c r="E31" s="10" t="s">
        <x:v>898</x:v>
      </x:c>
      <x:c r="F31" s="10">
        <x:v>3</x:v>
      </x:c>
      <x:c r="G31" s="10" t="s">
        <x:v>899</x:v>
      </x:c>
      <x:c r="H31" s="10">
        <x:v>180</x:v>
      </x:c>
      <x:c r="I31" s="10"/>
      <x:c r="J31" s="10"/>
      <x:c r="K31" s="10"/>
      <x:c r="L31" s="10"/>
      <x:c r="M31" s="10"/>
      <x:c r="N31" s="10" t="s">
        <x:v>1077</x:v>
      </x:c>
      <x:c r="O31" s="10" t="s">
        <x:v>1066</x:v>
      </x:c>
      <x:c r="P31" s="10" t="s">
        <x:v>1078</x:v>
      </x:c>
      <x:c r="Q31" s="10" t="s">
        <x:v>1068</x:v>
      </x:c>
      <x:c r="R31" s="10" t="s">
        <x:v>1079</x:v>
      </x:c>
      <x:c r="S31" s="16" t="s">
        <x:v>1070</x:v>
      </x:c>
      <x:c r="T31" s="10"/>
      <x:c r="U31" t="str">
        <x:v>modified</x:v>
      </x:c>
      <x:c r="V31" s="63" t="str">
        <x:v>11-residue pore-loop deletion (Letter11 variant; same shell sequence as T=4).</x:v>
      </x:c>
      <x:c r="W31" t="str">
        <x:v>A0A0F5HPP7_T4_empty</x:v>
      </x:c>
      <x:c r="X31" s="63" t="str">
        <x:v>193–209</x:v>
      </x:c>
      <x:c r="Y31" s="98" t="str">
        <x:v>HRVHKDTNVLEIEHVRE</x:v>
      </x:c>
      <x:c r="Z31" s="100" t="str">
        <x:v>GSGGSG</x:v>
      </x:c>
      <x:c r="AA31" s="63" t="str">
        <x:v>Curated Letter11 protein vs WT reference: 17 aa replaced by 6 aa, net shortening of 11 residues; same sequence for T=3 and T=4.</x:v>
      </x:c>
    </x:row>
    <x:row r="32" ht="113.0999984741211" customHeight="1">
      <x:c r="A32" s="13" t="s">
        <x:v>1080</x:v>
      </x:c>
      <x:c r="B32" s="15" t="s">
        <x:v>178</x:v>
      </x:c>
      <x:c r="C32" s="7" t="s">
        <x:v>955</x:v>
      </x:c>
      <x:c r="D32" s="7" t="s">
        <x:v>897</x:v>
      </x:c>
      <x:c r="E32" s="7" t="s">
        <x:v>898</x:v>
      </x:c>
      <x:c r="F32" s="7">
        <x:v>1</x:v>
      </x:c>
      <x:c r="G32" s="7" t="s">
        <x:v>964</x:v>
      </x:c>
      <x:c r="H32" s="7">
        <x:v>60</x:v>
      </x:c>
      <x:c r="I32" s="7">
        <x:v>21</x:v>
      </x:c>
      <x:c r="J32" s="7"/>
      <x:c r="K32" s="7"/>
      <x:c r="L32" s="7"/>
      <x:c r="M32" s="7"/>
      <x:c r="N32" s="7" t="s">
        <x:v>1081</x:v>
      </x:c>
      <x:c r="O32" s="7" t="s">
        <x:v>1082</x:v>
      </x:c>
      <x:c r="P32" s="7" t="s">
        <x:v>1083</x:v>
      </x:c>
      <x:c r="Q32" s="7" t="s">
        <x:v>1084</x:v>
      </x:c>
      <x:c r="R32" s="7" t="s">
        <x:v>1085</x:v>
      </x:c>
      <x:c r="S32" s="15" t="s">
        <x:v>191</x:v>
      </x:c>
      <x:c r="T32" s="7"/>
      <x:c r="U32" t="str">
        <x:v>unmodified</x:v>
      </x:c>
      <x:c r="V32" s="63" t="str">
        <x:v>No engineered alteration of the WT shell protein is recorded for this assembly.</x:v>
      </x:c>
      <x:c r="W32" t="str">
        <x:v>D0LZ74_T1_empty</x:v>
      </x:c>
      <x:c r="X32" s="63"/>
      <x:c r="Y32" s="98"/>
      <x:c r="Z32" s="100"/>
      <x:c r="AA32" s="63"/>
    </x:row>
    <x:row r="33" ht="99.8499984741211" customHeight="1">
      <x:c r="A33" s="14" t="s">
        <x:v>1086</x:v>
      </x:c>
      <x:c r="B33" s="16" t="s">
        <x:v>178</x:v>
      </x:c>
      <x:c r="C33" s="10" t="s">
        <x:v>955</x:v>
      </x:c>
      <x:c r="D33" s="10" t="s">
        <x:v>897</x:v>
      </x:c>
      <x:c r="E33" s="10" t="s">
        <x:v>898</x:v>
      </x:c>
      <x:c r="F33" s="10">
        <x:v>1</x:v>
      </x:c>
      <x:c r="G33" s="10" t="s">
        <x:v>1087</x:v>
      </x:c>
      <x:c r="H33" s="10">
        <x:v>60</x:v>
      </x:c>
      <x:c r="I33" s="10">
        <x:v>21</x:v>
      </x:c>
      <x:c r="J33" s="10"/>
      <x:c r="K33" s="10"/>
      <x:c r="L33" s="10"/>
      <x:c r="M33" s="10"/>
      <x:c r="N33" s="10" t="s">
        <x:v>1045</x:v>
      </x:c>
      <x:c r="O33" s="10" t="s">
        <x:v>1088</x:v>
      </x:c>
      <x:c r="P33" s="10"/>
      <x:c r="Q33" s="10" t="s">
        <x:v>1084</x:v>
      </x:c>
      <x:c r="R33" s="10" t="s">
        <x:v>1089</x:v>
      </x:c>
      <x:c r="S33" s="16" t="s">
        <x:v>191</x:v>
      </x:c>
      <x:c r="T33" s="10"/>
      <x:c r="U33" t="str">
        <x:v>unmodified</x:v>
      </x:c>
      <x:c r="V33" s="63" t="str">
        <x:v>No engineered alteration of the WT shell protein is recorded for this assembly.</x:v>
      </x:c>
      <x:c r="W33" t="str">
        <x:v>D0LZ74_T1_empty</x:v>
      </x:c>
      <x:c r="X33" s="63"/>
      <x:c r="Y33" s="98"/>
      <x:c r="Z33" s="100"/>
      <x:c r="AA33" s="63"/>
    </x:row>
    <x:row r="34" ht="166.35000610351562" customHeight="1">
      <x:c r="A34" s="13" t="s">
        <x:v>1090</x:v>
      </x:c>
      <x:c r="B34" s="15" t="s">
        <x:v>192</x:v>
      </x:c>
      <x:c r="C34" s="7" t="s">
        <x:v>1091</x:v>
      </x:c>
      <x:c r="D34" s="7" t="s">
        <x:v>897</x:v>
      </x:c>
      <x:c r="E34" s="7" t="s">
        <x:v>898</x:v>
      </x:c>
      <x:c r="F34" s="7">
        <x:v>1</x:v>
      </x:c>
      <x:c r="G34" s="7" t="s">
        <x:v>899</x:v>
      </x:c>
      <x:c r="H34" s="7">
        <x:v>60</x:v>
      </x:c>
      <x:c r="I34" s="7">
        <x:v>24.5</x:v>
      </x:c>
      <x:c r="J34" s="7"/>
      <x:c r="K34" s="7"/>
      <x:c r="L34" s="7"/>
      <x:c r="M34" s="7"/>
      <x:c r="N34" s="7" t="s">
        <x:v>1092</x:v>
      </x:c>
      <x:c r="O34" s="7" t="s">
        <x:v>1082</x:v>
      </x:c>
      <x:c r="P34" s="7" t="s">
        <x:v>1093</x:v>
      </x:c>
      <x:c r="Q34" s="7" t="s">
        <x:v>1094</x:v>
      </x:c>
      <x:c r="R34" s="7" t="s">
        <x:v>1095</x:v>
      </x:c>
      <x:c r="S34" s="15" t="s">
        <x:v>207</x:v>
      </x:c>
      <x:c r="T34" s="7"/>
      <x:c r="U34" t="str">
        <x:v>unmodified</x:v>
      </x:c>
      <x:c r="V34" s="63" t="str">
        <x:v>No engineered alteration of the WT shell protein is recorded for this assembly.</x:v>
      </x:c>
      <x:c r="W34" t="str">
        <x:v>Q55032_T1_empty</x:v>
      </x:c>
      <x:c r="X34" s="63"/>
      <x:c r="Y34" s="98"/>
      <x:c r="Z34" s="100"/>
      <x:c r="AA34" s="63"/>
    </x:row>
    <x:row r="35" ht="139.6999969482422" customHeight="1">
      <x:c r="A35" s="14" t="s">
        <x:v>1096</x:v>
      </x:c>
      <x:c r="B35" s="16" t="s">
        <x:v>192</x:v>
      </x:c>
      <x:c r="C35" s="10" t="s">
        <x:v>1091</x:v>
      </x:c>
      <x:c r="D35" s="10" t="s">
        <x:v>897</x:v>
      </x:c>
      <x:c r="E35" s="10" t="s">
        <x:v>898</x:v>
      </x:c>
      <x:c r="F35" s="10">
        <x:v>1</x:v>
      </x:c>
      <x:c r="G35" s="10" t="s">
        <x:v>964</x:v>
      </x:c>
      <x:c r="H35" s="10">
        <x:v>60</x:v>
      </x:c>
      <x:c r="I35" s="10"/>
      <x:c r="J35" s="10"/>
      <x:c r="K35" s="10"/>
      <x:c r="L35" s="10"/>
      <x:c r="M35" s="10"/>
      <x:c r="N35" s="10" t="s">
        <x:v>1097</x:v>
      </x:c>
      <x:c r="O35" s="10" t="s">
        <x:v>1082</x:v>
      </x:c>
      <x:c r="P35" s="10" t="s">
        <x:v>1098</x:v>
      </x:c>
      <x:c r="Q35" s="10" t="s">
        <x:v>1094</x:v>
      </x:c>
      <x:c r="R35" s="10" t="s">
        <x:v>1099</x:v>
      </x:c>
      <x:c r="S35" s="16" t="s">
        <x:v>207</x:v>
      </x:c>
      <x:c r="T35" s="10"/>
      <x:c r="U35" t="str">
        <x:v>unmodified</x:v>
      </x:c>
      <x:c r="V35" s="63" t="str">
        <x:v>No engineered alteration of the WT shell protein is recorded for this assembly.</x:v>
      </x:c>
      <x:c r="W35" t="str">
        <x:v>Q55032_T1_empty</x:v>
      </x:c>
      <x:c r="X35" s="63"/>
      <x:c r="Y35" s="98"/>
      <x:c r="Z35" s="100"/>
      <x:c r="AA35" s="63"/>
    </x:row>
    <x:row r="36" ht="339.20001220703125" customHeight="1">
      <x:c r="A36" s="13" t="s">
        <x:v>216</x:v>
      </x:c>
      <x:c r="B36" s="15" t="s">
        <x:v>208</x:v>
      </x:c>
      <x:c r="C36" s="7" t="s">
        <x:v>1100</x:v>
      </x:c>
      <x:c r="D36" s="7" t="s">
        <x:v>897</x:v>
      </x:c>
      <x:c r="E36" s="7" t="s">
        <x:v>898</x:v>
      </x:c>
      <x:c r="F36" s="7">
        <x:v>3</x:v>
      </x:c>
      <x:c r="G36" s="7" t="s">
        <x:v>899</x:v>
      </x:c>
      <x:c r="H36" s="7">
        <x:v>180</x:v>
      </x:c>
      <x:c r="I36" s="7">
        <x:v>30</x:v>
      </x:c>
      <x:c r="J36" s="7"/>
      <x:c r="K36" s="7">
        <x:v>3.3</x:v>
      </x:c>
      <x:c r="L36" s="7"/>
      <x:c r="M36" s="7"/>
      <x:c r="N36" s="7" t="s">
        <x:v>1101</x:v>
      </x:c>
      <x:c r="O36" s="7" t="s">
        <x:v>1102</x:v>
      </x:c>
      <x:c r="P36" s="7" t="s">
        <x:v>1103</x:v>
      </x:c>
      <x:c r="Q36" s="7" t="s">
        <x:v>1104</x:v>
      </x:c>
      <x:c r="R36" s="7" t="s">
        <x:v>1105</x:v>
      </x:c>
      <x:c r="S36" s="15" t="s">
        <x:v>1106</x:v>
      </x:c>
      <x:c r="T36" s="7"/>
      <x:c r="U36" t="str">
        <x:v>unmodified</x:v>
      </x:c>
      <x:c r="V36" s="63" t="str">
        <x:v>No engineered alteration of the WT shell protein is recorded for this assembly.</x:v>
      </x:c>
      <x:c r="W36" t="str">
        <x:v>Q8U1L4_ref</x:v>
      </x:c>
      <x:c r="X36" s="63"/>
      <x:c r="Y36" s="98"/>
      <x:c r="Z36" s="100"/>
      <x:c r="AA36" s="63"/>
    </x:row>
    <x:row r="37" ht="192.85000610351562" customHeight="1">
      <x:c r="A37" s="14" t="s">
        <x:v>229</x:v>
      </x:c>
      <x:c r="B37" s="16" t="s">
        <x:v>223</x:v>
      </x:c>
      <x:c r="C37" s="10" t="s">
        <x:v>1107</x:v>
      </x:c>
      <x:c r="D37" s="10" t="s">
        <x:v>897</x:v>
      </x:c>
      <x:c r="E37" s="10" t="s">
        <x:v>898</x:v>
      </x:c>
      <x:c r="F37" s="10">
        <x:v>1</x:v>
      </x:c>
      <x:c r="G37" s="10" t="s">
        <x:v>899</x:v>
      </x:c>
      <x:c r="H37" s="10">
        <x:v>60</x:v>
      </x:c>
      <x:c r="I37" s="10">
        <x:v>22.8</x:v>
      </x:c>
      <x:c r="J37" s="10"/>
      <x:c r="K37" s="10" t="s">
        <x:v>1108</x:v>
      </x:c>
      <x:c r="L37" s="10" t="s">
        <x:v>1109</x:v>
      </x:c>
      <x:c r="M37" s="10"/>
      <x:c r="N37" s="10" t="s">
        <x:v>1110</x:v>
      </x:c>
      <x:c r="O37" s="10" t="s">
        <x:v>1111</x:v>
      </x:c>
      <x:c r="P37" s="10" t="s">
        <x:v>232</x:v>
      </x:c>
      <x:c r="Q37" s="10" t="s">
        <x:v>1112</x:v>
      </x:c>
      <x:c r="R37" s="10" t="s">
        <x:v>1113</x:v>
      </x:c>
      <x:c r="S37" s="16" t="s">
        <x:v>1114</x:v>
      </x:c>
      <x:c r="T37" s="17" t="s">
        <x:v>1115</x:v>
      </x:c>
      <x:c r="U37" t="str">
        <x:v>unmodified</x:v>
      </x:c>
      <x:c r="V37" s="63" t="str">
        <x:v>No engineered alteration of the WT shell protein is recorded for this assembly.</x:v>
      </x:c>
      <x:c r="W37" t="str">
        <x:v>Q45296_ref</x:v>
      </x:c>
      <x:c r="X37" s="63"/>
      <x:c r="Y37" s="98"/>
      <x:c r="Z37" s="100"/>
      <x:c r="AA37" s="63"/>
    </x:row>
    <x:row r="38" ht="246.10000610351562" customHeight="1">
      <x:c r="A38" s="13" t="s">
        <x:v>1116</x:v>
      </x:c>
      <x:c r="B38" s="15" t="s">
        <x:v>223</x:v>
      </x:c>
      <x:c r="C38" s="7" t="s">
        <x:v>1107</x:v>
      </x:c>
      <x:c r="D38" s="7" t="s">
        <x:v>897</x:v>
      </x:c>
      <x:c r="E38" s="7" t="s">
        <x:v>898</x:v>
      </x:c>
      <x:c r="F38" s="7">
        <x:v>1</x:v>
      </x:c>
      <x:c r="G38" s="7" t="s">
        <x:v>899</x:v>
      </x:c>
      <x:c r="H38" s="7">
        <x:v>60</x:v>
      </x:c>
      <x:c r="I38" s="7">
        <x:v>23.2</x:v>
      </x:c>
      <x:c r="J38" s="7"/>
      <x:c r="K38" s="7" t="s">
        <x:v>1108</x:v>
      </x:c>
      <x:c r="L38" s="7" t="s">
        <x:v>1109</x:v>
      </x:c>
      <x:c r="M38" s="7"/>
      <x:c r="N38" s="7" t="s">
        <x:v>1117</x:v>
      </x:c>
      <x:c r="O38" s="7" t="s">
        <x:v>1118</x:v>
      </x:c>
      <x:c r="P38" s="7"/>
      <x:c r="Q38" s="7" t="s">
        <x:v>1119</x:v>
      </x:c>
      <x:c r="R38" s="7" t="s">
        <x:v>1120</x:v>
      </x:c>
      <x:c r="S38" s="15" t="s">
        <x:v>1114</x:v>
      </x:c>
      <x:c r="T38" s="7"/>
      <x:c r="U38" t="str">
        <x:v>unmodified</x:v>
      </x:c>
      <x:c r="V38" s="63" t="str">
        <x:v>No engineered alteration of the WT shell protein is recorded for this assembly.</x:v>
      </x:c>
      <x:c r="W38" t="str">
        <x:v>Q45296_ref</x:v>
      </x:c>
      <x:c r="X38" s="63"/>
      <x:c r="Y38" s="98"/>
      <x:c r="Z38" s="100"/>
      <x:c r="AA38" s="63"/>
    </x:row>
    <x:row r="39" ht="166.35000610351562" customHeight="1">
      <x:c r="A39" s="14" t="s">
        <x:v>244</x:v>
      </x:c>
      <x:c r="B39" s="16" t="s">
        <x:v>237</x:v>
      </x:c>
      <x:c r="C39" s="10" t="s">
        <x:v>1121</x:v>
      </x:c>
      <x:c r="D39" s="10" t="s">
        <x:v>897</x:v>
      </x:c>
      <x:c r="E39" s="10" t="s">
        <x:v>898</x:v>
      </x:c>
      <x:c r="F39" s="10">
        <x:v>1</x:v>
      </x:c>
      <x:c r="G39" s="10" t="s">
        <x:v>899</x:v>
      </x:c>
      <x:c r="H39" s="10">
        <x:v>60</x:v>
      </x:c>
      <x:c r="I39" s="10">
        <x:v>24</x:v>
      </x:c>
      <x:c r="J39" s="10"/>
      <x:c r="K39" s="10"/>
      <x:c r="L39" s="10"/>
      <x:c r="M39" s="10"/>
      <x:c r="N39" s="10" t="s">
        <x:v>1122</x:v>
      </x:c>
      <x:c r="O39" s="10" t="s">
        <x:v>1123</x:v>
      </x:c>
      <x:c r="P39" s="10" t="s">
        <x:v>247</x:v>
      </x:c>
      <x:c r="Q39" s="10" t="s">
        <x:v>1124</x:v>
      </x:c>
      <x:c r="R39" s="10" t="s">
        <x:v>1125</x:v>
      </x:c>
      <x:c r="S39" s="16" t="s">
        <x:v>1126</x:v>
      </x:c>
      <x:c r="T39" s="10"/>
      <x:c r="U39" t="str">
        <x:v>unmodified</x:v>
      </x:c>
      <x:c r="V39" s="63" t="str">
        <x:v>No engineered alteration of the WT shell protein is recorded for this assembly.</x:v>
      </x:c>
      <x:c r="W39" t="str">
        <x:v>K7RV67_ref</x:v>
      </x:c>
      <x:c r="X39" s="63"/>
      <x:c r="Y39" s="98"/>
      <x:c r="Z39" s="100"/>
      <x:c r="AA39" s="63"/>
    </x:row>
    <x:row r="40" ht="86.55000305175781" customHeight="1">
      <x:c r="A40" s="13" t="s">
        <x:v>259</x:v>
      </x:c>
      <x:c r="B40" s="15" t="s">
        <x:v>252</x:v>
      </x:c>
      <x:c r="C40" s="7" t="s">
        <x:v>1127</x:v>
      </x:c>
      <x:c r="D40" s="7" t="s">
        <x:v>897</x:v>
      </x:c>
      <x:c r="E40" s="7" t="s">
        <x:v>898</x:v>
      </x:c>
      <x:c r="F40" s="7">
        <x:v>4</x:v>
      </x:c>
      <x:c r="G40" s="7" t="s">
        <x:v>899</x:v>
      </x:c>
      <x:c r="H40" s="7">
        <x:v>240</x:v>
      </x:c>
      <x:c r="I40" s="7">
        <x:v>40</x:v>
      </x:c>
      <x:c r="J40" s="7"/>
      <x:c r="K40" s="7"/>
      <x:c r="L40" s="7"/>
      <x:c r="M40" s="7"/>
      <x:c r="N40" s="7" t="s">
        <x:v>1128</x:v>
      </x:c>
      <x:c r="O40" s="7" t="s">
        <x:v>966</x:v>
      </x:c>
      <x:c r="P40" s="7" t="s">
        <x:v>1129</x:v>
      </x:c>
      <x:c r="Q40" s="7" t="s">
        <x:v>1130</x:v>
      </x:c>
      <x:c r="R40" s="7" t="s">
        <x:v>1131</x:v>
      </x:c>
      <x:c r="S40" s="15" t="s">
        <x:v>266</x:v>
      </x:c>
      <x:c r="T40" s="7"/>
      <x:c r="U40" t="str">
        <x:v>unmodified</x:v>
      </x:c>
      <x:c r="V40" s="63" t="str">
        <x:v>No engineered alteration of the WT shell protein is recorded for this assembly.</x:v>
      </x:c>
      <x:c r="W40" t="str">
        <x:v>A0A1G9WS71_ref</x:v>
      </x:c>
      <x:c r="X40" s="63"/>
      <x:c r="Y40" s="98"/>
      <x:c r="Z40" s="100"/>
      <x:c r="AA40" s="63"/>
    </x:row>
    <x:row r="41" ht="99.8499984741211" customHeight="1">
      <x:c r="A41" s="14" t="s">
        <x:v>1132</x:v>
      </x:c>
      <x:c r="B41" s="16" t="s">
        <x:v>252</x:v>
      </x:c>
      <x:c r="C41" s="10" t="s">
        <x:v>1133</x:v>
      </x:c>
      <x:c r="D41" s="10" t="s">
        <x:v>923</x:v>
      </x:c>
      <x:c r="E41" s="10" t="s">
        <x:v>898</x:v>
      </x:c>
      <x:c r="F41" s="10">
        <x:v>4</x:v>
      </x:c>
      <x:c r="G41" s="10" t="s">
        <x:v>964</x:v>
      </x:c>
      <x:c r="H41" s="10">
        <x:v>240</x:v>
      </x:c>
      <x:c r="I41" s="10"/>
      <x:c r="J41" s="10"/>
      <x:c r="K41" s="10"/>
      <x:c r="L41" s="10"/>
      <x:c r="M41" s="10"/>
      <x:c r="N41" s="10" t="s">
        <x:v>1134</x:v>
      </x:c>
      <x:c r="O41" s="10" t="s">
        <x:v>966</x:v>
      </x:c>
      <x:c r="P41" s="10" t="s">
        <x:v>1135</x:v>
      </x:c>
      <x:c r="Q41" s="10" t="s">
        <x:v>1130</x:v>
      </x:c>
      <x:c r="R41" s="10" t="s">
        <x:v>1136</x:v>
      </x:c>
      <x:c r="S41" s="16" t="s">
        <x:v>266</x:v>
      </x:c>
      <x:c r="T41" s="10"/>
      <x:c r="U41" t="str">
        <x:v>modified</x:v>
      </x:c>
      <x:c r="V41" s="63" t="str">
        <x:v>N198W amino-acid substitution at the shell pore.</x:v>
      </x:c>
      <x:c r="W41" t="str">
        <x:v>A0A1G9WS71_ref</x:v>
      </x:c>
      <x:c r="X41" s="63" t="str">
        <x:v>198</x:v>
      </x:c>
      <x:c r="Y41" s="98" t="str">
        <x:v>N</x:v>
      </x:c>
      <x:c r="Z41" s="100" t="str">
        <x:v>W</x:v>
      </x:c>
      <x:c r="AA41" s="63" t="str">
        <x:v>N198W substitution explicitly annotated in the curated assembly record; residue numbering follows reported notation.</x:v>
      </x:c>
    </x:row>
    <x:row r="42" ht="153" customHeight="1">
      <x:c r="A42" s="13" t="s">
        <x:v>273</x:v>
      </x:c>
      <x:c r="B42" s="15" t="s">
        <x:v>267</x:v>
      </x:c>
      <x:c r="C42" s="7" t="s">
        <x:v>1137</x:v>
      </x:c>
      <x:c r="D42" s="7" t="s">
        <x:v>897</x:v>
      </x:c>
      <x:c r="E42" s="7" t="s">
        <x:v>898</x:v>
      </x:c>
      <x:c r="F42" s="7">
        <x:v>1</x:v>
      </x:c>
      <x:c r="G42" s="7" t="s">
        <x:v>899</x:v>
      </x:c>
      <x:c r="H42" s="7">
        <x:v>60</x:v>
      </x:c>
      <x:c r="I42" s="7">
        <x:v>24</x:v>
      </x:c>
      <x:c r="J42" s="7"/>
      <x:c r="K42" s="7" t="s">
        <x:v>1011</x:v>
      </x:c>
      <x:c r="L42" s="7"/>
      <x:c r="M42" s="7"/>
      <x:c r="N42" s="7" t="s">
        <x:v>1138</x:v>
      </x:c>
      <x:c r="O42" s="7" t="s">
        <x:v>1139</x:v>
      </x:c>
      <x:c r="P42" s="7" t="s">
        <x:v>1140</x:v>
      </x:c>
      <x:c r="Q42" s="7" t="s">
        <x:v>1141</x:v>
      </x:c>
      <x:c r="R42" s="7" t="s">
        <x:v>1142</x:v>
      </x:c>
      <x:c r="S42" s="15" t="s">
        <x:v>280</x:v>
      </x:c>
      <x:c r="T42" s="7"/>
      <x:c r="U42" t="str">
        <x:v>unmodified</x:v>
      </x:c>
      <x:c r="V42" s="63" t="str">
        <x:v>No engineered alteration of the WT shell protein is recorded for this assembly.</x:v>
      </x:c>
      <x:c r="W42" t="str">
        <x:v>A0R4H0_ref</x:v>
      </x:c>
      <x:c r="X42" s="63"/>
      <x:c r="Y42" s="98"/>
      <x:c r="Z42" s="100"/>
      <x:c r="AA42" s="63"/>
    </x:row>
    <x:row r="43" ht="139.6999969482422" customHeight="1">
      <x:c r="A43" s="14" t="s">
        <x:v>286</x:v>
      </x:c>
      <x:c r="B43" s="16" t="s">
        <x:v>281</x:v>
      </x:c>
      <x:c r="C43" s="10" t="s">
        <x:v>1143</x:v>
      </x:c>
      <x:c r="D43" s="10" t="s">
        <x:v>897</x:v>
      </x:c>
      <x:c r="E43" s="10" t="s">
        <x:v>898</x:v>
      </x:c>
      <x:c r="F43" s="10">
        <x:v>4</x:v>
      </x:c>
      <x:c r="G43" s="10" t="s">
        <x:v>899</x:v>
      </x:c>
      <x:c r="H43" s="10">
        <x:v>240</x:v>
      </x:c>
      <x:c r="I43" s="10"/>
      <x:c r="J43" s="10"/>
      <x:c r="K43" s="10"/>
      <x:c r="L43" s="10"/>
      <x:c r="M43" s="10"/>
      <x:c r="N43" s="10" t="s">
        <x:v>1144</x:v>
      </x:c>
      <x:c r="O43" s="10" t="s">
        <x:v>966</x:v>
      </x:c>
      <x:c r="P43" s="10" t="s">
        <x:v>289</x:v>
      </x:c>
      <x:c r="Q43" s="10" t="s">
        <x:v>1145</x:v>
      </x:c>
      <x:c r="R43" s="10" t="s">
        <x:v>1146</x:v>
      </x:c>
      <x:c r="S43" s="16"/>
      <x:c r="T43" s="10"/>
      <x:c r="U43" t="str">
        <x:v>unmodified</x:v>
      </x:c>
      <x:c r="V43" s="63" t="str">
        <x:v>No engineered alteration of the WT shell protein is recorded for this assembly.</x:v>
      </x:c>
      <x:c r="W43" t="str">
        <x:v>I3E3I1_ref</x:v>
      </x:c>
      <x:c r="X43" s="63"/>
      <x:c r="Y43" s="98"/>
      <x:c r="Z43" s="100"/>
      <x:c r="AA43" s="63"/>
    </x:row>
    <x:row r="44" ht="113.0999984741211" customHeight="1">
      <x:c r="A44" s="13" t="s">
        <x:v>300</x:v>
      </x:c>
      <x:c r="B44" s="15" t="s">
        <x:v>294</x:v>
      </x:c>
      <x:c r="C44" s="7" t="s">
        <x:v>1147</x:v>
      </x:c>
      <x:c r="D44" s="7" t="s">
        <x:v>897</x:v>
      </x:c>
      <x:c r="E44" s="7" t="s">
        <x:v>898</x:v>
      </x:c>
      <x:c r="F44" s="7">
        <x:v>1</x:v>
      </x:c>
      <x:c r="G44" s="7" t="s">
        <x:v>899</x:v>
      </x:c>
      <x:c r="H44" s="7">
        <x:v>60</x:v>
      </x:c>
      <x:c r="I44" s="7">
        <x:v>23</x:v>
      </x:c>
      <x:c r="J44" s="7"/>
      <x:c r="K44" s="7" t="s">
        <x:v>956</x:v>
      </x:c>
      <x:c r="L44" s="7"/>
      <x:c r="M44" s="7"/>
      <x:c r="N44" s="7" t="s">
        <x:v>1148</x:v>
      </x:c>
      <x:c r="O44" s="7" t="s">
        <x:v>1149</x:v>
      </x:c>
      <x:c r="P44" s="7" t="s">
        <x:v>303</x:v>
      </x:c>
      <x:c r="Q44" s="7" t="s">
        <x:v>1150</x:v>
      </x:c>
      <x:c r="R44" s="7" t="s">
        <x:v>1151</x:v>
      </x:c>
      <x:c r="S44" s="15" t="s">
        <x:v>306</x:v>
      </x:c>
      <x:c r="T44" s="7"/>
      <x:c r="U44" t="str">
        <x:v>unmodified</x:v>
      </x:c>
      <x:c r="V44" s="63" t="str">
        <x:v>No engineered alteration of the WT shell protein is recorded for this assembly.</x:v>
      </x:c>
      <x:c r="W44" t="str">
        <x:v>K5BEG2_ref</x:v>
      </x:c>
      <x:c r="X44" s="63"/>
      <x:c r="Y44" s="98"/>
      <x:c r="Z44" s="100"/>
      <x:c r="AA44" s="63"/>
    </x:row>
    <x:row r="45" ht="153" customHeight="1">
      <x:c r="A45" s="14" t="s">
        <x:v>313</x:v>
      </x:c>
      <x:c r="B45" s="16" t="s">
        <x:v>307</x:v>
      </x:c>
      <x:c r="C45" s="10" t="s">
        <x:v>1152</x:v>
      </x:c>
      <x:c r="D45" s="10" t="s">
        <x:v>897</x:v>
      </x:c>
      <x:c r="E45" s="10" t="s">
        <x:v>898</x:v>
      </x:c>
      <x:c r="F45" s="10">
        <x:v>1</x:v>
      </x:c>
      <x:c r="G45" s="10" t="s">
        <x:v>899</x:v>
      </x:c>
      <x:c r="H45" s="10">
        <x:v>60</x:v>
      </x:c>
      <x:c r="I45" s="10">
        <x:v>24</x:v>
      </x:c>
      <x:c r="J45" s="10"/>
      <x:c r="K45" s="10"/>
      <x:c r="L45" s="10"/>
      <x:c r="M45" s="10"/>
      <x:c r="N45" s="10" t="s">
        <x:v>1153</x:v>
      </x:c>
      <x:c r="O45" s="10" t="s">
        <x:v>1154</x:v>
      </x:c>
      <x:c r="P45" s="10" t="s">
        <x:v>316</x:v>
      </x:c>
      <x:c r="Q45" s="10" t="s">
        <x:v>1155</x:v>
      </x:c>
      <x:c r="R45" s="10" t="s">
        <x:v>1156</x:v>
      </x:c>
      <x:c r="S45" s="16" t="s">
        <x:v>320</x:v>
      </x:c>
      <x:c r="T45" s="10"/>
      <x:c r="U45" t="str">
        <x:v>unmodified</x:v>
      </x:c>
      <x:c r="V45" s="63" t="str">
        <x:v>No engineered alteration of the WT shell protein is recorded for this assembly.</x:v>
      </x:c>
      <x:c r="W45" t="str">
        <x:v>A0AAT8XUH9_ref</x:v>
      </x:c>
      <x:c r="X45" s="63"/>
      <x:c r="Y45" s="98"/>
      <x:c r="Z45" s="100"/>
      <x:c r="AA45" s="63"/>
    </x:row>
    <x:row r="46" ht="113.0999984741211" customHeight="1">
      <x:c r="A46" s="13" t="s">
        <x:v>376</x:v>
      </x:c>
      <x:c r="B46" s="15" t="s">
        <x:v>370</x:v>
      </x:c>
      <x:c r="C46" s="7" t="s">
        <x:v>1157</x:v>
      </x:c>
      <x:c r="D46" s="7" t="s">
        <x:v>897</x:v>
      </x:c>
      <x:c r="E46" s="7" t="s">
        <x:v>898</x:v>
      </x:c>
      <x:c r="F46" s="7">
        <x:v>1</x:v>
      </x:c>
      <x:c r="G46" s="7" t="s">
        <x:v>964</x:v>
      </x:c>
      <x:c r="H46" s="7">
        <x:v>60</x:v>
      </x:c>
      <x:c r="I46" s="7">
        <x:v>24.6</x:v>
      </x:c>
      <x:c r="J46" s="7"/>
      <x:c r="K46" s="7"/>
      <x:c r="L46" s="7"/>
      <x:c r="M46" s="7"/>
      <x:c r="N46" s="7" t="s">
        <x:v>1158</x:v>
      </x:c>
      <x:c r="O46" s="7" t="s">
        <x:v>1159</x:v>
      </x:c>
      <x:c r="P46" s="7" t="s">
        <x:v>1160</x:v>
      </x:c>
      <x:c r="Q46" s="7" t="s">
        <x:v>1161</x:v>
      </x:c>
      <x:c r="R46" s="7" t="s">
        <x:v>1162</x:v>
      </x:c>
      <x:c r="S46" s="15" t="s">
        <x:v>383</x:v>
      </x:c>
      <x:c r="T46" s="7"/>
      <x:c r="U46" t="str">
        <x:v>unmodified</x:v>
      </x:c>
      <x:c r="V46" s="63" t="str">
        <x:v>No engineered alteration of the WT shell protein is recorded for this assembly.</x:v>
      </x:c>
      <x:c r="W46" t="str">
        <x:v>Q2RVS0_ref</x:v>
      </x:c>
      <x:c r="X46" s="63"/>
      <x:c r="Y46" s="98"/>
      <x:c r="Z46" s="100"/>
      <x:c r="AA46" s="63"/>
    </x:row>
    <x:row r="47" ht="139.6999969482422" customHeight="1">
      <x:c r="A47" s="14" t="s">
        <x:v>1163</x:v>
      </x:c>
      <x:c r="B47" s="16" t="s">
        <x:v>370</x:v>
      </x:c>
      <x:c r="C47" s="10" t="s">
        <x:v>1157</x:v>
      </x:c>
      <x:c r="D47" s="10" t="s">
        <x:v>897</x:v>
      </x:c>
      <x:c r="E47" s="10" t="s">
        <x:v>898</x:v>
      </x:c>
      <x:c r="F47" s="10">
        <x:v>1</x:v>
      </x:c>
      <x:c r="G47" s="10" t="s">
        <x:v>964</x:v>
      </x:c>
      <x:c r="H47" s="10">
        <x:v>60</x:v>
      </x:c>
      <x:c r="I47" s="10">
        <x:v>23.9</x:v>
      </x:c>
      <x:c r="J47" s="10"/>
      <x:c r="K47" s="10"/>
      <x:c r="L47" s="10"/>
      <x:c r="M47" s="10"/>
      <x:c r="N47" s="10" t="s">
        <x:v>1164</x:v>
      </x:c>
      <x:c r="O47" s="10" t="s">
        <x:v>1159</x:v>
      </x:c>
      <x:c r="P47" s="10" t="s">
        <x:v>1165</x:v>
      </x:c>
      <x:c r="Q47" s="10" t="s">
        <x:v>1161</x:v>
      </x:c>
      <x:c r="R47" s="10" t="s">
        <x:v>1166</x:v>
      </x:c>
      <x:c r="S47" s="16" t="s">
        <x:v>383</x:v>
      </x:c>
      <x:c r="T47" s="10"/>
      <x:c r="U47" t="str">
        <x:v>unmodified</x:v>
      </x:c>
      <x:c r="V47" s="63" t="str">
        <x:v>No engineered alteration of the WT shell protein is recorded for this assembly.</x:v>
      </x:c>
      <x:c r="W47" t="str">
        <x:v>Q2RVS0_ref</x:v>
      </x:c>
      <x:c r="X47" s="63"/>
      <x:c r="Y47" s="98"/>
      <x:c r="Z47" s="100"/>
      <x:c r="AA47" s="63"/>
    </x:row>
    <x:row r="48" ht="153" customHeight="1">
      <x:c r="A48" s="13" t="s">
        <x:v>840</x:v>
      </x:c>
      <x:c r="B48" s="15" t="s">
        <x:v>835</x:v>
      </x:c>
      <x:c r="C48" s="7" t="s">
        <x:v>1167</x:v>
      </x:c>
      <x:c r="D48" s="7" t="s">
        <x:v>897</x:v>
      </x:c>
      <x:c r="E48" s="7" t="s">
        <x:v>898</x:v>
      </x:c>
      <x:c r="F48" s="7">
        <x:v>1</x:v>
      </x:c>
      <x:c r="G48" s="7" t="s">
        <x:v>1087</x:v>
      </x:c>
      <x:c r="H48" s="7">
        <x:v>60</x:v>
      </x:c>
      <x:c r="I48" s="7">
        <x:v>22</x:v>
      </x:c>
      <x:c r="J48" s="7"/>
      <x:c r="K48" s="7"/>
      <x:c r="L48" s="7"/>
      <x:c r="M48" s="7"/>
      <x:c r="N48" s="7" t="s">
        <x:v>1168</x:v>
      </x:c>
      <x:c r="O48" s="7" t="s">
        <x:v>1169</x:v>
      </x:c>
      <x:c r="P48" s="7"/>
      <x:c r="Q48" s="7" t="s">
        <x:v>1170</x:v>
      </x:c>
      <x:c r="R48" s="7" t="s">
        <x:v>1171</x:v>
      </x:c>
      <x:c r="S48" s="15" t="s">
        <x:v>1172</x:v>
      </x:c>
      <x:c r="T48" s="7"/>
      <x:c r="U48" t="str">
        <x:v>unmodified</x:v>
      </x:c>
      <x:c r="V48" s="63" t="str">
        <x:v>No engineered alteration of the WT shell protein is recorded for this assembly.</x:v>
      </x:c>
      <x:c r="W48" t="str">
        <x:v>Q0SE23_ref</x:v>
      </x:c>
      <x:c r="X48" s="63"/>
      <x:c r="Y48" s="98"/>
      <x:c r="Z48" s="100"/>
      <x:c r="AA48" s="63"/>
    </x:row>
    <x:row r="49" ht="139.6999969482422" customHeight="1">
      <x:c r="A49" s="14" t="s">
        <x:v>1173</x:v>
      </x:c>
      <x:c r="B49" s="16" t="s">
        <x:v>835</x:v>
      </x:c>
      <x:c r="C49" s="10" t="s">
        <x:v>1167</x:v>
      </x:c>
      <x:c r="D49" s="10" t="s">
        <x:v>897</x:v>
      </x:c>
      <x:c r="E49" s="10" t="s">
        <x:v>898</x:v>
      </x:c>
      <x:c r="F49" s="10">
        <x:v>1</x:v>
      </x:c>
      <x:c r="G49" s="10" t="s">
        <x:v>1087</x:v>
      </x:c>
      <x:c r="H49" s="10">
        <x:v>60</x:v>
      </x:c>
      <x:c r="I49" s="10"/>
      <x:c r="J49" s="10"/>
      <x:c r="K49" s="10"/>
      <x:c r="L49" s="10"/>
      <x:c r="M49" s="10"/>
      <x:c r="N49" s="10" t="s">
        <x:v>1174</x:v>
      </x:c>
      <x:c r="O49" s="10" t="s">
        <x:v>1175</x:v>
      </x:c>
      <x:c r="P49" s="10"/>
      <x:c r="Q49" s="10" t="s">
        <x:v>1170</x:v>
      </x:c>
      <x:c r="R49" s="10" t="s">
        <x:v>1176</x:v>
      </x:c>
      <x:c r="S49" s="16" t="s">
        <x:v>1172</x:v>
      </x:c>
      <x:c r="T49" s="10"/>
      <x:c r="U49" t="str">
        <x:v>unmodified</x:v>
      </x:c>
      <x:c r="V49" s="63" t="str">
        <x:v>No engineered alteration of the WT shell protein is recorded for this assembly.</x:v>
      </x:c>
      <x:c r="W49" t="str">
        <x:v>Q0SE23_ref</x:v>
      </x:c>
      <x:c r="X49" s="63"/>
      <x:c r="Y49" s="98"/>
      <x:c r="Z49" s="100"/>
      <x:c r="AA49" s="63"/>
    </x:row>
    <x:row r="50" ht="139.6999969482422" customHeight="1">
      <x:c r="A50" s="13" t="s">
        <x:v>854</x:v>
      </x:c>
      <x:c r="B50" s="15" t="s">
        <x:v>846</x:v>
      </x:c>
      <x:c r="C50" s="7" t="s">
        <x:v>1177</x:v>
      </x:c>
      <x:c r="D50" s="7" t="s">
        <x:v>897</x:v>
      </x:c>
      <x:c r="E50" s="7" t="s">
        <x:v>898</x:v>
      </x:c>
      <x:c r="F50" s="7">
        <x:v>3</x:v>
      </x:c>
      <x:c r="G50" s="7" t="s">
        <x:v>964</x:v>
      </x:c>
      <x:c r="H50" s="7">
        <x:v>180</x:v>
      </x:c>
      <x:c r="I50" s="7">
        <x:v>33</x:v>
      </x:c>
      <x:c r="J50" s="7"/>
      <x:c r="K50" s="7"/>
      <x:c r="L50" s="7"/>
      <x:c r="M50" s="7"/>
      <x:c r="N50" s="7" t="s">
        <x:v>1178</x:v>
      </x:c>
      <x:c r="O50" s="7" t="s">
        <x:v>1179</x:v>
      </x:c>
      <x:c r="P50" s="7"/>
      <x:c r="Q50" s="7" t="s">
        <x:v>1180</x:v>
      </x:c>
      <x:c r="R50" s="7" t="s">
        <x:v>1181</x:v>
      </x:c>
      <x:c r="S50" s="15" t="s">
        <x:v>860</x:v>
      </x:c>
      <x:c r="T50" s="7"/>
      <x:c r="U50" t="str">
        <x:v>modified</x:v>
      </x:c>
      <x:c r="V50" s="63" t="str">
        <x:v>Signal peptide omitted from the expressed cEnc construct; native N-terminal cytochrome domain retained.</x:v>
      </x:c>
      <x:c r="W50" t="str">
        <x:v>Q1Q6L7_full</x:v>
      </x:c>
      <x:c r="X50" s="63" t="str">
        <x:v>1–36</x:v>
      </x:c>
      <x:c r="Y50" s="98" t="str">
        <x:v>MVMGILNTFKKVYAVTGFFALLAVFSLSQVGSSAFA</x:v>
      </x:c>
      <x:c r="Z50" s="100" t="str"/>
      <x:c r="AA50" s="63" t="str">
        <x:v>Predicted 36-aa N-terminal signal peptide omitted from recombinant construct (paper note). Complete expression construct sequence was not verified.</x:v>
      </x:c>
    </x:row>
    <x:row r="51" ht="126.4000015258789" customHeight="1">
      <x:c r="A51" s="14" t="s">
        <x:v>1182</x:v>
      </x:c>
      <x:c r="B51" s="16" t="s">
        <x:v>846</x:v>
      </x:c>
      <x:c r="C51" s="10" t="s">
        <x:v>1183</x:v>
      </x:c>
      <x:c r="D51" s="10" t="s">
        <x:v>923</x:v>
      </x:c>
      <x:c r="E51" s="10" t="s">
        <x:v>898</x:v>
      </x:c>
      <x:c r="F51" s="10">
        <x:v>3</x:v>
      </x:c>
      <x:c r="G51" s="10" t="s">
        <x:v>964</x:v>
      </x:c>
      <x:c r="H51" s="10">
        <x:v>180</x:v>
      </x:c>
      <x:c r="I51" s="10">
        <x:v>29</x:v>
      </x:c>
      <x:c r="J51" s="10"/>
      <x:c r="K51" s="10"/>
      <x:c r="L51" s="10"/>
      <x:c r="M51" s="10"/>
      <x:c r="N51" s="10" t="s">
        <x:v>1184</x:v>
      </x:c>
      <x:c r="O51" s="10" t="s">
        <x:v>1185</x:v>
      </x:c>
      <x:c r="P51" s="10"/>
      <x:c r="Q51" s="10" t="s">
        <x:v>1180</x:v>
      </x:c>
      <x:c r="R51" s="10" t="s">
        <x:v>1186</x:v>
      </x:c>
      <x:c r="S51" s="16" t="s">
        <x:v>860</x:v>
      </x:c>
      <x:c r="T51" s="10"/>
      <x:c r="U51" t="str">
        <x:v>modified</x:v>
      </x:c>
      <x:c r="V51" s="63" t="str">
        <x:v>Removal of the N-terminal diheme cytochrome domain (ΔCyt).</x:v>
      </x:c>
      <x:c r="W51" t="str">
        <x:v>Q1Q6L7_full</x:v>
      </x:c>
      <x:c r="X51" s="63" t="str">
        <x:v>1–86</x:v>
      </x:c>
      <x:c r="Y51" s="98" t="str">
        <x:v>MVMGILNTFKKVYAVTGFFALLAVFSLSQVGSSAFAACAKVDDCFSCHTTQELNAVHKNTPYQGQSCIVCHKAFAADDTCSDAKDG</x:v>
      </x:c>
      <x:c r="Z51" s="100" t="str"/>
      <x:c r="AA51" s="63" t="str">
        <x:v>Native 277-aa retained segment aligns to reference residues 87–363; residues 1–86 absent. Full experimental plasmid DNA not independently verified.</x:v>
      </x:c>
    </x:row>
    <x:row r="52" ht="139.6999969482422" customHeight="1">
      <x:c r="A52" s="13" t="s">
        <x:v>720</x:v>
      </x:c>
      <x:c r="B52" s="15" t="s">
        <x:v>713</x:v>
      </x:c>
      <x:c r="C52" s="7" t="s">
        <x:v>1187</x:v>
      </x:c>
      <x:c r="D52" s="7" t="s">
        <x:v>897</x:v>
      </x:c>
      <x:c r="E52" s="7"/>
      <x:c r="F52" s="7"/>
      <x:c r="G52" s="7"/>
      <x:c r="H52" s="7"/>
      <x:c r="I52" s="7"/>
      <x:c r="J52" s="7"/>
      <x:c r="K52" s="7"/>
      <x:c r="L52" s="7"/>
      <x:c r="M52" s="7"/>
      <x:c r="N52" s="7" t="s">
        <x:v>1188</x:v>
      </x:c>
      <x:c r="O52" s="7" t="s">
        <x:v>1189</x:v>
      </x:c>
      <x:c r="P52" s="7"/>
      <x:c r="Q52" s="7" t="s">
        <x:v>1190</x:v>
      </x:c>
      <x:c r="R52" s="7" t="s">
        <x:v>1191</x:v>
      </x:c>
      <x:c r="S52" s="15" t="s">
        <x:v>1192</x:v>
      </x:c>
      <x:c r="T52" s="7"/>
      <x:c r="U52" t="str">
        <x:v>unmodified</x:v>
      </x:c>
      <x:c r="V52" s="63" t="str">
        <x:v>No engineered alteration of the WT shell protein is recorded for this assembly.</x:v>
      </x:c>
      <x:c r="W52" t="str">
        <x:v>A0A502IA18_exp</x:v>
      </x:c>
      <x:c r="X52" s="63"/>
      <x:c r="Y52" s="98"/>
      <x:c r="Z52" s="100"/>
      <x:c r="AA52" s="63"/>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32" customWidth="1"/>
    <x:col min="2" max="2" width="19" customWidth="1"/>
    <x:col min="3" max="3" width="31" customWidth="1"/>
    <x:col min="4" max="4" width="55" customWidth="1"/>
    <x:col min="5" max="5" width="20" customWidth="1"/>
    <x:col min="6" max="7" width="18" customWidth="1"/>
    <x:col min="8" max="8" width="20" customWidth="1"/>
    <x:col min="9" max="10" width="19" customWidth="1"/>
    <x:col min="11" max="13" width="20" customWidth="1"/>
    <x:col min="14" max="14" width="75" customWidth="1"/>
    <x:col min="15" max="15" width="47" customWidth="1"/>
    <x:col min="16" max="16" width="36" customWidth="1"/>
    <x:col min="17" max="17" width="58" customWidth="1"/>
    <x:col min="18" max="18" width="57" customWidth="1"/>
    <x:col min="19" max="19" width="96" customWidth="1"/>
  </x:cols>
  <x:sheetData>
    <x:row r="1" ht="42" customHeight="1">
      <x:c r="A1" s="2" t="s">
        <x:v>1193</x:v>
      </x:c>
      <x:c r="B1" s="2" t="s">
        <x:v>81</x:v>
      </x:c>
      <x:c r="C1" s="2" t="s">
        <x:v>877</x:v>
      </x:c>
      <x:c r="D1" s="2" t="s">
        <x:v>878</x:v>
      </x:c>
      <x:c r="E1" s="2" t="s">
        <x:v>879</x:v>
      </x:c>
      <x:c r="F1" s="2" t="s">
        <x:v>1194</x:v>
      </x:c>
      <x:c r="G1" s="2" t="s">
        <x:v>1195</x:v>
      </x:c>
      <x:c r="H1" s="2" t="s">
        <x:v>1196</x:v>
      </x:c>
      <x:c r="I1" s="2" t="s">
        <x:v>1197</x:v>
      </x:c>
      <x:c r="J1" s="2" t="s">
        <x:v>1198</x:v>
      </x:c>
      <x:c r="K1" s="2" t="s">
        <x:v>1199</x:v>
      </x:c>
      <x:c r="L1" s="2" t="s">
        <x:v>1200</x:v>
      </x:c>
      <x:c r="M1" s="2" t="s">
        <x:v>1201</x:v>
      </x:c>
      <x:c r="N1" s="2" t="s">
        <x:v>889</x:v>
      </x:c>
      <x:c r="O1" s="2" t="s">
        <x:v>890</x:v>
      </x:c>
      <x:c r="P1" s="2" t="s">
        <x:v>891</x:v>
      </x:c>
      <x:c r="Q1" s="2" t="s">
        <x:v>892</x:v>
      </x:c>
      <x:c r="R1" s="2" t="s">
        <x:v>894</x:v>
      </x:c>
      <x:c r="S1" s="2" t="s">
        <x:v>893</x:v>
      </x:c>
    </x:row>
    <x:row r="2" ht="46.599998474121094" customHeight="1">
      <x:c r="A2" s="13" t="s">
        <x:v>1202</x:v>
      </x:c>
      <x:c r="B2" s="15" t="s">
        <x:v>114</x:v>
      </x:c>
      <x:c r="C2" s="15" t="s">
        <x:v>127</x:v>
      </x:c>
      <x:c r="D2" s="7" t="s">
        <x:v>896</x:v>
      </x:c>
      <x:c r="E2" s="7" t="s">
        <x:v>897</x:v>
      </x:c>
      <x:c r="F2" s="7" t="s">
        <x:v>1203</x:v>
      </x:c>
      <x:c r="G2" s="7" t="s">
        <x:v>1204</x:v>
      </x:c>
      <x:c r="H2" s="7"/>
      <x:c r="I2" s="7"/>
      <x:c r="J2" s="7" t="s">
        <x:v>1205</x:v>
      </x:c>
      <x:c r="K2" s="7"/>
      <x:c r="L2" s="7"/>
      <x:c r="M2" s="7"/>
      <x:c r="N2" s="7" t="s">
        <x:v>1206</x:v>
      </x:c>
      <x:c r="O2" s="7" t="s">
        <x:v>1207</x:v>
      </x:c>
      <x:c r="P2" s="7" t="s">
        <x:v>1208</x:v>
      </x:c>
      <x:c r="Q2" s="7" t="s">
        <x:v>1209</x:v>
      </x:c>
      <x:c r="R2" s="15" t="s">
        <x:v>1210</x:v>
      </x:c>
      <x:c r="S2" s="7"/>
    </x:row>
    <x:row r="3" ht="59.95000076293945" customHeight="1">
      <x:c r="A3" s="14" t="s">
        <x:v>1211</x:v>
      </x:c>
      <x:c r="B3" s="16" t="s">
        <x:v>114</x:v>
      </x:c>
      <x:c r="C3" s="16" t="s">
        <x:v>127</x:v>
      </x:c>
      <x:c r="D3" s="10" t="s">
        <x:v>896</x:v>
      </x:c>
      <x:c r="E3" s="10" t="s">
        <x:v>897</x:v>
      </x:c>
      <x:c r="F3" s="10" t="s">
        <x:v>1212</x:v>
      </x:c>
      <x:c r="G3" s="10" t="s">
        <x:v>1213</x:v>
      </x:c>
      <x:c r="H3" s="10">
        <x:v>0.36</x:v>
      </x:c>
      <x:c r="I3" s="10" t="s">
        <x:v>1214</x:v>
      </x:c>
      <x:c r="J3" s="10" t="s">
        <x:v>1205</x:v>
      </x:c>
      <x:c r="K3" s="10" t="s">
        <x:v>1215</x:v>
      </x:c>
      <x:c r="L3" s="10" t="s">
        <x:v>1216</x:v>
      </x:c>
      <x:c r="M3" s="10"/>
      <x:c r="N3" s="10" t="s">
        <x:v>1217</x:v>
      </x:c>
      <x:c r="O3" s="10" t="s">
        <x:v>1218</x:v>
      </x:c>
      <x:c r="P3" s="10" t="s">
        <x:v>1208</x:v>
      </x:c>
      <x:c r="Q3" s="10" t="s">
        <x:v>1219</x:v>
      </x:c>
      <x:c r="R3" s="16" t="s">
        <x:v>1220</x:v>
      </x:c>
      <x:c r="S3" s="10"/>
    </x:row>
    <x:row r="4" ht="59.95000076293945" customHeight="1">
      <x:c r="A4" s="13" t="s">
        <x:v>1221</x:v>
      </x:c>
      <x:c r="B4" s="15" t="s">
        <x:v>114</x:v>
      </x:c>
      <x:c r="C4" s="15" t="s">
        <x:v>127</x:v>
      </x:c>
      <x:c r="D4" s="7" t="s">
        <x:v>896</x:v>
      </x:c>
      <x:c r="E4" s="7" t="s">
        <x:v>897</x:v>
      </x:c>
      <x:c r="F4" s="7" t="s">
        <x:v>1222</x:v>
      </x:c>
      <x:c r="G4" s="7" t="s">
        <x:v>1213</x:v>
      </x:c>
      <x:c r="H4" s="7">
        <x:v>0.64</x:v>
      </x:c>
      <x:c r="I4" s="7" t="s">
        <x:v>1214</x:v>
      </x:c>
      <x:c r="J4" s="7" t="s">
        <x:v>1223</x:v>
      </x:c>
      <x:c r="K4" s="7" t="s">
        <x:v>1216</x:v>
      </x:c>
      <x:c r="L4" s="7" t="s">
        <x:v>1224</x:v>
      </x:c>
      <x:c r="M4" s="7"/>
      <x:c r="N4" s="7" t="s">
        <x:v>1217</x:v>
      </x:c>
      <x:c r="O4" s="7" t="s">
        <x:v>1225</x:v>
      </x:c>
      <x:c r="P4" s="7" t="s">
        <x:v>1208</x:v>
      </x:c>
      <x:c r="Q4" s="7" t="s">
        <x:v>1219</x:v>
      </x:c>
      <x:c r="R4" s="15" t="s">
        <x:v>1220</x:v>
      </x:c>
      <x:c r="S4" s="7"/>
    </x:row>
    <x:row r="5" ht="46.599998474121094" customHeight="1">
      <x:c r="A5" s="14" t="s">
        <x:v>1226</x:v>
      </x:c>
      <x:c r="B5" s="16" t="s">
        <x:v>114</x:v>
      </x:c>
      <x:c r="C5" s="16" t="s">
        <x:v>915</x:v>
      </x:c>
      <x:c r="D5" s="10" t="s">
        <x:v>896</x:v>
      </x:c>
      <x:c r="E5" s="10" t="s">
        <x:v>897</x:v>
      </x:c>
      <x:c r="F5" s="10" t="s">
        <x:v>1203</x:v>
      </x:c>
      <x:c r="G5" s="10" t="s">
        <x:v>1204</x:v>
      </x:c>
      <x:c r="H5" s="10"/>
      <x:c r="I5" s="10"/>
      <x:c r="J5" s="10" t="s">
        <x:v>1205</x:v>
      </x:c>
      <x:c r="K5" s="10"/>
      <x:c r="L5" s="10"/>
      <x:c r="M5" s="10"/>
      <x:c r="N5" s="10" t="s">
        <x:v>1227</x:v>
      </x:c>
      <x:c r="O5" s="10" t="s">
        <x:v>902</x:v>
      </x:c>
      <x:c r="P5" s="10" t="s">
        <x:v>917</x:v>
      </x:c>
      <x:c r="Q5" s="10" t="s">
        <x:v>918</x:v>
      </x:c>
      <x:c r="R5" s="16" t="s">
        <x:v>920</x:v>
      </x:c>
      <x:c r="S5" s="10" t="s">
        <x:v>1228</x:v>
      </x:c>
    </x:row>
    <x:row r="6" ht="46.599998474121094" customHeight="1">
      <x:c r="A6" s="13" t="s">
        <x:v>1229</x:v>
      </x:c>
      <x:c r="B6" s="15" t="s">
        <x:v>114</x:v>
      </x:c>
      <x:c r="C6" s="15" t="s">
        <x:v>915</x:v>
      </x:c>
      <x:c r="D6" s="7" t="s">
        <x:v>896</x:v>
      </x:c>
      <x:c r="E6" s="7" t="s">
        <x:v>897</x:v>
      </x:c>
      <x:c r="F6" s="7" t="s">
        <x:v>1212</x:v>
      </x:c>
      <x:c r="G6" s="7" t="s">
        <x:v>1213</x:v>
      </x:c>
      <x:c r="H6" s="7">
        <x:v>0.5</x:v>
      </x:c>
      <x:c r="I6" s="7" t="s">
        <x:v>1214</x:v>
      </x:c>
      <x:c r="J6" s="7" t="s">
        <x:v>1205</x:v>
      </x:c>
      <x:c r="K6" s="7" t="s">
        <x:v>1215</x:v>
      </x:c>
      <x:c r="L6" s="7" t="s">
        <x:v>1216</x:v>
      </x:c>
      <x:c r="M6" s="7"/>
      <x:c r="N6" s="7" t="s">
        <x:v>1227</x:v>
      </x:c>
      <x:c r="O6" s="7" t="s">
        <x:v>1230</x:v>
      </x:c>
      <x:c r="P6" s="7" t="s">
        <x:v>917</x:v>
      </x:c>
      <x:c r="Q6" s="7" t="s">
        <x:v>918</x:v>
      </x:c>
      <x:c r="R6" s="15" t="s">
        <x:v>920</x:v>
      </x:c>
      <x:c r="S6" s="7" t="s">
        <x:v>1231</x:v>
      </x:c>
    </x:row>
    <x:row r="7" ht="46.599998474121094" customHeight="1">
      <x:c r="A7" s="14" t="s">
        <x:v>1232</x:v>
      </x:c>
      <x:c r="B7" s="16" t="s">
        <x:v>114</x:v>
      </x:c>
      <x:c r="C7" s="16" t="s">
        <x:v>915</x:v>
      </x:c>
      <x:c r="D7" s="10" t="s">
        <x:v>896</x:v>
      </x:c>
      <x:c r="E7" s="10" t="s">
        <x:v>897</x:v>
      </x:c>
      <x:c r="F7" s="10" t="s">
        <x:v>1222</x:v>
      </x:c>
      <x:c r="G7" s="10" t="s">
        <x:v>1213</x:v>
      </x:c>
      <x:c r="H7" s="10">
        <x:v>0.7</x:v>
      </x:c>
      <x:c r="I7" s="10" t="s">
        <x:v>1214</x:v>
      </x:c>
      <x:c r="J7" s="10" t="s">
        <x:v>1205</x:v>
      </x:c>
      <x:c r="K7" s="10" t="s">
        <x:v>1216</x:v>
      </x:c>
      <x:c r="L7" s="10" t="s">
        <x:v>1224</x:v>
      </x:c>
      <x:c r="M7" s="10"/>
      <x:c r="N7" s="10" t="s">
        <x:v>1227</x:v>
      </x:c>
      <x:c r="O7" s="10" t="s">
        <x:v>1230</x:v>
      </x:c>
      <x:c r="P7" s="10" t="s">
        <x:v>917</x:v>
      </x:c>
      <x:c r="Q7" s="10" t="s">
        <x:v>918</x:v>
      </x:c>
      <x:c r="R7" s="16" t="s">
        <x:v>920</x:v>
      </x:c>
      <x:c r="S7" s="10" t="s">
        <x:v>1233</x:v>
      </x:c>
    </x:row>
    <x:row r="8" ht="46.599998474121094" customHeight="1">
      <x:c r="A8" s="13" t="s">
        <x:v>1234</x:v>
      </x:c>
      <x:c r="B8" s="15" t="s">
        <x:v>114</x:v>
      </x:c>
      <x:c r="C8" s="15" t="s">
        <x:v>932</x:v>
      </x:c>
      <x:c r="D8" s="7" t="s">
        <x:v>922</x:v>
      </x:c>
      <x:c r="E8" s="7" t="s">
        <x:v>923</x:v>
      </x:c>
      <x:c r="F8" s="7" t="s">
        <x:v>1203</x:v>
      </x:c>
      <x:c r="G8" s="7" t="s">
        <x:v>1213</x:v>
      </x:c>
      <x:c r="H8" s="7"/>
      <x:c r="I8" s="7" t="s">
        <x:v>1235</x:v>
      </x:c>
      <x:c r="J8" s="7" t="s">
        <x:v>1205</x:v>
      </x:c>
      <x:c r="K8" s="7" t="s">
        <x:v>1236</x:v>
      </x:c>
      <x:c r="L8" s="7" t="s">
        <x:v>1236</x:v>
      </x:c>
      <x:c r="M8" s="7"/>
      <x:c r="N8" s="7" t="s">
        <x:v>1237</x:v>
      </x:c>
      <x:c r="O8" s="7" t="s">
        <x:v>902</x:v>
      </x:c>
      <x:c r="P8" s="7" t="s">
        <x:v>937</x:v>
      </x:c>
      <x:c r="Q8" s="7" t="s">
        <x:v>929</x:v>
      </x:c>
      <x:c r="R8" s="15" t="s">
        <x:v>931</x:v>
      </x:c>
      <x:c r="S8" s="7" t="s">
        <x:v>1238</x:v>
      </x:c>
    </x:row>
    <x:row r="9" ht="73.1500015258789" customHeight="1">
      <x:c r="A9" s="14" t="s">
        <x:v>1239</x:v>
      </x:c>
      <x:c r="B9" s="16" t="s">
        <x:v>114</x:v>
      </x:c>
      <x:c r="C9" s="16" t="s">
        <x:v>947</x:v>
      </x:c>
      <x:c r="D9" s="10" t="s">
        <x:v>940</x:v>
      </x:c>
      <x:c r="E9" s="10" t="s">
        <x:v>923</x:v>
      </x:c>
      <x:c r="F9" s="10" t="s">
        <x:v>1212</x:v>
      </x:c>
      <x:c r="G9" s="10" t="s">
        <x:v>1213</x:v>
      </x:c>
      <x:c r="H9" s="10"/>
      <x:c r="I9" s="10" t="s">
        <x:v>1235</x:v>
      </x:c>
      <x:c r="J9" s="10" t="s">
        <x:v>1205</x:v>
      </x:c>
      <x:c r="K9" s="12" t="s">
        <x:v>1240</x:v>
      </x:c>
      <x:c r="L9" s="10" t="s">
        <x:v>1216</x:v>
      </x:c>
      <x:c r="M9" s="10"/>
      <x:c r="N9" s="10" t="s">
        <x:v>948</x:v>
      </x:c>
      <x:c r="O9" s="10" t="s">
        <x:v>1241</x:v>
      </x:c>
      <x:c r="P9" s="10" t="s">
        <x:v>949</x:v>
      </x:c>
      <x:c r="Q9" s="10" t="s">
        <x:v>944</x:v>
      </x:c>
      <x:c r="R9" s="16" t="s">
        <x:v>946</x:v>
      </x:c>
      <x:c r="S9" s="10" t="s">
        <x:v>1242</x:v>
      </x:c>
    </x:row>
    <x:row r="10" ht="73.1500015258789" customHeight="1">
      <x:c r="A10" s="13" t="s">
        <x:v>1243</x:v>
      </x:c>
      <x:c r="B10" s="15" t="s">
        <x:v>114</x:v>
      </x:c>
      <x:c r="C10" s="15" t="s">
        <x:v>947</x:v>
      </x:c>
      <x:c r="D10" s="7" t="s">
        <x:v>940</x:v>
      </x:c>
      <x:c r="E10" s="7" t="s">
        <x:v>923</x:v>
      </x:c>
      <x:c r="F10" s="7" t="s">
        <x:v>1222</x:v>
      </x:c>
      <x:c r="G10" s="7" t="s">
        <x:v>1213</x:v>
      </x:c>
      <x:c r="H10" s="7">
        <x:v>1.26</x:v>
      </x:c>
      <x:c r="I10" s="7" t="s">
        <x:v>1214</x:v>
      </x:c>
      <x:c r="J10" s="7" t="s">
        <x:v>1205</x:v>
      </x:c>
      <x:c r="K10" s="12" t="s">
        <x:v>1240</x:v>
      </x:c>
      <x:c r="L10" s="7" t="s">
        <x:v>1216</x:v>
      </x:c>
      <x:c r="M10" s="7"/>
      <x:c r="N10" s="7" t="s">
        <x:v>948</x:v>
      </x:c>
      <x:c r="O10" s="7" t="s">
        <x:v>1241</x:v>
      </x:c>
      <x:c r="P10" s="7" t="s">
        <x:v>949</x:v>
      </x:c>
      <x:c r="Q10" s="7" t="s">
        <x:v>944</x:v>
      </x:c>
      <x:c r="R10" s="15" t="s">
        <x:v>946</x:v>
      </x:c>
      <x:c r="S10" s="7" t="s">
        <x:v>1244</x:v>
      </x:c>
    </x:row>
    <x:row r="11" ht="73.1500015258789" customHeight="1">
      <x:c r="A11" s="14" t="s">
        <x:v>1245</x:v>
      </x:c>
      <x:c r="B11" s="16" t="s">
        <x:v>114</x:v>
      </x:c>
      <x:c r="C11" s="16" t="s">
        <x:v>951</x:v>
      </x:c>
      <x:c r="D11" s="10" t="s">
        <x:v>940</x:v>
      </x:c>
      <x:c r="E11" s="10" t="s">
        <x:v>923</x:v>
      </x:c>
      <x:c r="F11" s="10" t="s">
        <x:v>1212</x:v>
      </x:c>
      <x:c r="G11" s="10" t="s">
        <x:v>1213</x:v>
      </x:c>
      <x:c r="H11" s="10"/>
      <x:c r="I11" s="10" t="s">
        <x:v>1235</x:v>
      </x:c>
      <x:c r="J11" s="10" t="s">
        <x:v>1205</x:v>
      </x:c>
      <x:c r="K11" s="12" t="s">
        <x:v>1240</x:v>
      </x:c>
      <x:c r="L11" s="10" t="s">
        <x:v>1216</x:v>
      </x:c>
      <x:c r="M11" s="10"/>
      <x:c r="N11" s="10" t="s">
        <x:v>948</x:v>
      </x:c>
      <x:c r="O11" s="10" t="s">
        <x:v>1241</x:v>
      </x:c>
      <x:c r="P11" s="10" t="s">
        <x:v>952</x:v>
      </x:c>
      <x:c r="Q11" s="10" t="s">
        <x:v>944</x:v>
      </x:c>
      <x:c r="R11" s="16" t="s">
        <x:v>946</x:v>
      </x:c>
      <x:c r="S11" s="10" t="s">
        <x:v>1246</x:v>
      </x:c>
    </x:row>
    <x:row r="12" ht="73.1500015258789" customHeight="1">
      <x:c r="A12" s="13" t="s">
        <x:v>1247</x:v>
      </x:c>
      <x:c r="B12" s="15" t="s">
        <x:v>114</x:v>
      </x:c>
      <x:c r="C12" s="15" t="s">
        <x:v>951</x:v>
      </x:c>
      <x:c r="D12" s="7" t="s">
        <x:v>940</x:v>
      </x:c>
      <x:c r="E12" s="7" t="s">
        <x:v>923</x:v>
      </x:c>
      <x:c r="F12" s="7" t="s">
        <x:v>1222</x:v>
      </x:c>
      <x:c r="G12" s="7" t="s">
        <x:v>1213</x:v>
      </x:c>
      <x:c r="H12" s="7">
        <x:v>1.36</x:v>
      </x:c>
      <x:c r="I12" s="7" t="s">
        <x:v>1214</x:v>
      </x:c>
      <x:c r="J12" s="7" t="s">
        <x:v>1205</x:v>
      </x:c>
      <x:c r="K12" s="12" t="s">
        <x:v>1240</x:v>
      </x:c>
      <x:c r="L12" s="7" t="s">
        <x:v>1216</x:v>
      </x:c>
      <x:c r="M12" s="7"/>
      <x:c r="N12" s="7" t="s">
        <x:v>948</x:v>
      </x:c>
      <x:c r="O12" s="7" t="s">
        <x:v>1241</x:v>
      </x:c>
      <x:c r="P12" s="7" t="s">
        <x:v>952</x:v>
      </x:c>
      <x:c r="Q12" s="7" t="s">
        <x:v>944</x:v>
      </x:c>
      <x:c r="R12" s="15" t="s">
        <x:v>946</x:v>
      </x:c>
      <x:c r="S12" s="7" t="s">
        <x:v>1248</x:v>
      </x:c>
    </x:row>
    <x:row r="13" ht="59.95000076293945" customHeight="1">
      <x:c r="A13" s="14" t="s">
        <x:v>1249</x:v>
      </x:c>
      <x:c r="B13" s="16" t="s">
        <x:v>135</x:v>
      </x:c>
      <x:c r="C13" s="16" t="s">
        <x:v>954</x:v>
      </x:c>
      <x:c r="D13" s="10" t="s">
        <x:v>955</x:v>
      </x:c>
      <x:c r="E13" s="10" t="s">
        <x:v>897</x:v>
      </x:c>
      <x:c r="F13" s="10" t="s">
        <x:v>1222</x:v>
      </x:c>
      <x:c r="G13" s="10" t="s">
        <x:v>1213</x:v>
      </x:c>
      <x:c r="H13" s="10">
        <x:v>0.28999999999999998</x:v>
      </x:c>
      <x:c r="I13" s="10" t="s">
        <x:v>1250</x:v>
      </x:c>
      <x:c r="J13" s="10" t="s">
        <x:v>1205</x:v>
      </x:c>
      <x:c r="K13" s="10" t="s">
        <x:v>1216</x:v>
      </x:c>
      <x:c r="L13" s="10" t="s">
        <x:v>1215</x:v>
      </x:c>
      <x:c r="M13" s="10"/>
      <x:c r="N13" s="10" t="s">
        <x:v>1251</x:v>
      </x:c>
      <x:c r="O13" s="10" t="s">
        <x:v>1252</x:v>
      </x:c>
      <x:c r="P13" s="10" t="s">
        <x:v>1253</x:v>
      </x:c>
      <x:c r="Q13" s="10" t="s">
        <x:v>1254</x:v>
      </x:c>
      <x:c r="R13" s="16" t="s">
        <x:v>1255</x:v>
      </x:c>
      <x:c r="S13" s="10" t="s">
        <x:v>1256</x:v>
      </x:c>
    </x:row>
    <x:row r="14" ht="46.599998474121094" customHeight="1">
      <x:c r="A14" s="13" t="s">
        <x:v>1257</x:v>
      </x:c>
      <x:c r="B14" s="15" t="s">
        <x:v>135</x:v>
      </x:c>
      <x:c r="C14" s="15" t="s">
        <x:v>978</x:v>
      </x:c>
      <x:c r="D14" s="7" t="s">
        <x:v>979</x:v>
      </x:c>
      <x:c r="E14" s="7" t="s">
        <x:v>923</x:v>
      </x:c>
      <x:c r="F14" s="7" t="s">
        <x:v>1222</x:v>
      </x:c>
      <x:c r="G14" s="7" t="s">
        <x:v>1213</x:v>
      </x:c>
      <x:c r="H14" s="7">
        <x:v>0.35</x:v>
      </x:c>
      <x:c r="I14" s="7" t="s">
        <x:v>1250</x:v>
      </x:c>
      <x:c r="J14" s="7" t="s">
        <x:v>1205</x:v>
      </x:c>
      <x:c r="K14" s="7" t="s">
        <x:v>1215</x:v>
      </x:c>
      <x:c r="L14" s="7" t="s">
        <x:v>1215</x:v>
      </x:c>
      <x:c r="M14" s="7"/>
      <x:c r="N14" s="7" t="s">
        <x:v>942</x:v>
      </x:c>
      <x:c r="O14" s="7" t="s">
        <x:v>1258</x:v>
      </x:c>
      <x:c r="P14" s="7" t="s">
        <x:v>980</x:v>
      </x:c>
      <x:c r="Q14" s="7" t="s">
        <x:v>975</x:v>
      </x:c>
      <x:c r="R14" s="15" t="s">
        <x:v>977</x:v>
      </x:c>
      <x:c r="S14" s="7" t="s">
        <x:v>1259</x:v>
      </x:c>
    </x:row>
    <x:row r="15" ht="46.599998474121094" customHeight="1">
      <x:c r="A15" s="14" t="s">
        <x:v>1260</x:v>
      </x:c>
      <x:c r="B15" s="16" t="s">
        <x:v>135</x:v>
      </x:c>
      <x:c r="C15" s="16" t="s">
        <x:v>971</x:v>
      </x:c>
      <x:c r="D15" s="10" t="s">
        <x:v>972</x:v>
      </x:c>
      <x:c r="E15" s="10" t="s">
        <x:v>923</x:v>
      </x:c>
      <x:c r="F15" s="10" t="s">
        <x:v>1222</x:v>
      </x:c>
      <x:c r="G15" s="10" t="s">
        <x:v>1213</x:v>
      </x:c>
      <x:c r="H15" s="10">
        <x:v>0.4</x:v>
      </x:c>
      <x:c r="I15" s="10" t="s">
        <x:v>1250</x:v>
      </x:c>
      <x:c r="J15" s="10" t="s">
        <x:v>1205</x:v>
      </x:c>
      <x:c r="K15" s="10" t="s">
        <x:v>1215</x:v>
      </x:c>
      <x:c r="L15" s="10" t="s">
        <x:v>1215</x:v>
      </x:c>
      <x:c r="M15" s="10"/>
      <x:c r="N15" s="10" t="s">
        <x:v>942</x:v>
      </x:c>
      <x:c r="O15" s="10" t="s">
        <x:v>1258</x:v>
      </x:c>
      <x:c r="P15" s="10" t="s">
        <x:v>974</x:v>
      </x:c>
      <x:c r="Q15" s="10" t="s">
        <x:v>975</x:v>
      </x:c>
      <x:c r="R15" s="16" t="s">
        <x:v>977</x:v>
      </x:c>
      <x:c r="S15" s="10" t="s">
        <x:v>1261</x:v>
      </x:c>
    </x:row>
    <x:row r="16" ht="46.599998474121094" customHeight="1">
      <x:c r="A16" s="13" t="s">
        <x:v>1262</x:v>
      </x:c>
      <x:c r="B16" s="15" t="s">
        <x:v>135</x:v>
      </x:c>
      <x:c r="C16" s="15" t="s">
        <x:v>982</x:v>
      </x:c>
      <x:c r="D16" s="7" t="s">
        <x:v>983</x:v>
      </x:c>
      <x:c r="E16" s="7" t="s">
        <x:v>923</x:v>
      </x:c>
      <x:c r="F16" s="7" t="s">
        <x:v>1222</x:v>
      </x:c>
      <x:c r="G16" s="7" t="s">
        <x:v>1213</x:v>
      </x:c>
      <x:c r="H16" s="7">
        <x:v>0.55000000000000004</x:v>
      </x:c>
      <x:c r="I16" s="7" t="s">
        <x:v>1250</x:v>
      </x:c>
      <x:c r="J16" s="7" t="s">
        <x:v>1205</x:v>
      </x:c>
      <x:c r="K16" s="7" t="s">
        <x:v>1216</x:v>
      </x:c>
      <x:c r="L16" s="7" t="s">
        <x:v>1216</x:v>
      </x:c>
      <x:c r="M16" s="7"/>
      <x:c r="N16" s="7" t="s">
        <x:v>942</x:v>
      </x:c>
      <x:c r="O16" s="7" t="s">
        <x:v>1258</x:v>
      </x:c>
      <x:c r="P16" s="7" t="s">
        <x:v>984</x:v>
      </x:c>
      <x:c r="Q16" s="7" t="s">
        <x:v>975</x:v>
      </x:c>
      <x:c r="R16" s="15" t="s">
        <x:v>977</x:v>
      </x:c>
      <x:c r="S16" s="7" t="s">
        <x:v>1263</x:v>
      </x:c>
    </x:row>
    <x:row r="17" ht="46.599998474121094" customHeight="1">
      <x:c r="A17" s="14" t="s">
        <x:v>1264</x:v>
      </x:c>
      <x:c r="B17" s="16" t="s">
        <x:v>135</x:v>
      </x:c>
      <x:c r="C17" s="16" t="s">
        <x:v>986</x:v>
      </x:c>
      <x:c r="D17" s="10" t="s">
        <x:v>987</x:v>
      </x:c>
      <x:c r="E17" s="10" t="s">
        <x:v>923</x:v>
      </x:c>
      <x:c r="F17" s="10" t="s">
        <x:v>1222</x:v>
      </x:c>
      <x:c r="G17" s="10" t="s">
        <x:v>1213</x:v>
      </x:c>
      <x:c r="H17" s="10">
        <x:v>1.07</x:v>
      </x:c>
      <x:c r="I17" s="10" t="s">
        <x:v>1250</x:v>
      </x:c>
      <x:c r="J17" s="10" t="s">
        <x:v>1205</x:v>
      </x:c>
      <x:c r="K17" s="10" t="s">
        <x:v>1216</x:v>
      </x:c>
      <x:c r="L17" s="10" t="s">
        <x:v>1215</x:v>
      </x:c>
      <x:c r="M17" s="10"/>
      <x:c r="N17" s="10" t="s">
        <x:v>942</x:v>
      </x:c>
      <x:c r="O17" s="10" t="s">
        <x:v>1258</x:v>
      </x:c>
      <x:c r="P17" s="10" t="s">
        <x:v>988</x:v>
      </x:c>
      <x:c r="Q17" s="10" t="s">
        <x:v>975</x:v>
      </x:c>
      <x:c r="R17" s="16" t="s">
        <x:v>977</x:v>
      </x:c>
      <x:c r="S17" s="10" t="s">
        <x:v>1265</x:v>
      </x:c>
    </x:row>
    <x:row r="18" ht="46.599998474121094" customHeight="1">
      <x:c r="A18" s="13" t="s">
        <x:v>1266</x:v>
      </x:c>
      <x:c r="B18" s="15" t="s">
        <x:v>135</x:v>
      </x:c>
      <x:c r="C18" s="15" t="s">
        <x:v>994</x:v>
      </x:c>
      <x:c r="D18" s="7" t="s">
        <x:v>995</x:v>
      </x:c>
      <x:c r="E18" s="7" t="s">
        <x:v>923</x:v>
      </x:c>
      <x:c r="F18" s="7" t="s">
        <x:v>1222</x:v>
      </x:c>
      <x:c r="G18" s="7" t="s">
        <x:v>1213</x:v>
      </x:c>
      <x:c r="H18" s="7">
        <x:v>1.01</x:v>
      </x:c>
      <x:c r="I18" s="7" t="s">
        <x:v>1250</x:v>
      </x:c>
      <x:c r="J18" s="7" t="s">
        <x:v>1205</x:v>
      </x:c>
      <x:c r="K18" s="7" t="s">
        <x:v>1216</x:v>
      </x:c>
      <x:c r="L18" s="7" t="s">
        <x:v>1236</x:v>
      </x:c>
      <x:c r="M18" s="7"/>
      <x:c r="N18" s="7" t="s">
        <x:v>942</x:v>
      </x:c>
      <x:c r="O18" s="7" t="s">
        <x:v>1258</x:v>
      </x:c>
      <x:c r="P18" s="7" t="s">
        <x:v>996</x:v>
      </x:c>
      <x:c r="Q18" s="7" t="s">
        <x:v>975</x:v>
      </x:c>
      <x:c r="R18" s="15" t="s">
        <x:v>977</x:v>
      </x:c>
      <x:c r="S18" s="7" t="s">
        <x:v>1267</x:v>
      </x:c>
    </x:row>
    <x:row r="19" ht="46.599998474121094" customHeight="1">
      <x:c r="A19" s="14" t="s">
        <x:v>1268</x:v>
      </x:c>
      <x:c r="B19" s="16" t="s">
        <x:v>135</x:v>
      </x:c>
      <x:c r="C19" s="16" t="s">
        <x:v>990</x:v>
      </x:c>
      <x:c r="D19" s="10" t="s">
        <x:v>991</x:v>
      </x:c>
      <x:c r="E19" s="10" t="s">
        <x:v>923</x:v>
      </x:c>
      <x:c r="F19" s="10" t="s">
        <x:v>1222</x:v>
      </x:c>
      <x:c r="G19" s="10" t="s">
        <x:v>1213</x:v>
      </x:c>
      <x:c r="H19" s="10">
        <x:v>0.67</x:v>
      </x:c>
      <x:c r="I19" s="10" t="s">
        <x:v>1250</x:v>
      </x:c>
      <x:c r="J19" s="10" t="s">
        <x:v>1205</x:v>
      </x:c>
      <x:c r="K19" s="10" t="s">
        <x:v>1215</x:v>
      </x:c>
      <x:c r="L19" s="10" t="s">
        <x:v>1269</x:v>
      </x:c>
      <x:c r="M19" s="10"/>
      <x:c r="N19" s="10" t="s">
        <x:v>942</x:v>
      </x:c>
      <x:c r="O19" s="10" t="s">
        <x:v>1258</x:v>
      </x:c>
      <x:c r="P19" s="10" t="s">
        <x:v>992</x:v>
      </x:c>
      <x:c r="Q19" s="10" t="s">
        <x:v>975</x:v>
      </x:c>
      <x:c r="R19" s="16" t="s">
        <x:v>977</x:v>
      </x:c>
      <x:c r="S19" s="10" t="s">
        <x:v>1270</x:v>
      </x:c>
    </x:row>
    <x:row r="20" ht="46.599998474121094" customHeight="1">
      <x:c r="A20" s="13" t="s">
        <x:v>1271</x:v>
      </x:c>
      <x:c r="B20" s="15" t="s">
        <x:v>135</x:v>
      </x:c>
      <x:c r="C20" s="15" t="s">
        <x:v>998</x:v>
      </x:c>
      <x:c r="D20" s="7" t="s">
        <x:v>999</x:v>
      </x:c>
      <x:c r="E20" s="7" t="s">
        <x:v>923</x:v>
      </x:c>
      <x:c r="F20" s="7" t="s">
        <x:v>1222</x:v>
      </x:c>
      <x:c r="G20" s="7" t="s">
        <x:v>1213</x:v>
      </x:c>
      <x:c r="H20" s="7">
        <x:v>1.1299999999999999</x:v>
      </x:c>
      <x:c r="I20" s="7" t="s">
        <x:v>1250</x:v>
      </x:c>
      <x:c r="J20" s="7" t="s">
        <x:v>1205</x:v>
      </x:c>
      <x:c r="K20" s="7" t="s">
        <x:v>1215</x:v>
      </x:c>
      <x:c r="L20" s="7" t="s">
        <x:v>1269</x:v>
      </x:c>
      <x:c r="M20" s="7"/>
      <x:c r="N20" s="7" t="s">
        <x:v>942</x:v>
      </x:c>
      <x:c r="O20" s="7" t="s">
        <x:v>1258</x:v>
      </x:c>
      <x:c r="P20" s="7" t="s">
        <x:v>1272</x:v>
      </x:c>
      <x:c r="Q20" s="7" t="s">
        <x:v>975</x:v>
      </x:c>
      <x:c r="R20" s="15" t="s">
        <x:v>977</x:v>
      </x:c>
      <x:c r="S20" s="7" t="s">
        <x:v>1273</x:v>
      </x:c>
    </x:row>
    <x:row r="21" ht="46.599998474121094" customHeight="1">
      <x:c r="A21" s="14" t="s">
        <x:v>1274</x:v>
      </x:c>
      <x:c r="B21" s="16" t="s">
        <x:v>135</x:v>
      </x:c>
      <x:c r="C21" s="16" t="s">
        <x:v>963</x:v>
      </x:c>
      <x:c r="D21" s="10" t="s">
        <x:v>955</x:v>
      </x:c>
      <x:c r="E21" s="10" t="s">
        <x:v>897</x:v>
      </x:c>
      <x:c r="F21" s="10" t="s">
        <x:v>1222</x:v>
      </x:c>
      <x:c r="G21" s="10" t="s">
        <x:v>1213</x:v>
      </x:c>
      <x:c r="H21" s="10">
        <x:v>0.48</x:v>
      </x:c>
      <x:c r="I21" s="10" t="s">
        <x:v>1250</x:v>
      </x:c>
      <x:c r="J21" s="10" t="s">
        <x:v>1205</x:v>
      </x:c>
      <x:c r="K21" s="10" t="s">
        <x:v>1236</x:v>
      </x:c>
      <x:c r="L21" s="10" t="s">
        <x:v>1236</x:v>
      </x:c>
      <x:c r="M21" s="10"/>
      <x:c r="N21" s="10" t="s">
        <x:v>1045</x:v>
      </x:c>
      <x:c r="O21" s="10" t="s">
        <x:v>1275</x:v>
      </x:c>
      <x:c r="P21" s="10" t="s">
        <x:v>1276</x:v>
      </x:c>
      <x:c r="Q21" s="10" t="s">
        <x:v>1277</x:v>
      </x:c>
      <x:c r="R21" s="16" t="s">
        <x:v>970</x:v>
      </x:c>
      <x:c r="S21" s="10" t="s">
        <x:v>1278</x:v>
      </x:c>
    </x:row>
    <x:row r="22" ht="46.599998474121094" customHeight="1">
      <x:c r="A22" s="13" t="s">
        <x:v>1279</x:v>
      </x:c>
      <x:c r="B22" s="15" t="s">
        <x:v>135</x:v>
      </x:c>
      <x:c r="C22" s="15" t="s">
        <x:v>963</x:v>
      </x:c>
      <x:c r="D22" s="7" t="s">
        <x:v>955</x:v>
      </x:c>
      <x:c r="E22" s="7" t="s">
        <x:v>897</x:v>
      </x:c>
      <x:c r="F22" s="7" t="s">
        <x:v>1212</x:v>
      </x:c>
      <x:c r="G22" s="7" t="s">
        <x:v>1213</x:v>
      </x:c>
      <x:c r="H22" s="7">
        <x:v>0.57999999999999996</x:v>
      </x:c>
      <x:c r="I22" s="7" t="s">
        <x:v>1250</x:v>
      </x:c>
      <x:c r="J22" s="7" t="s">
        <x:v>1205</x:v>
      </x:c>
      <x:c r="K22" s="7" t="s">
        <x:v>1236</x:v>
      </x:c>
      <x:c r="L22" s="7" t="s">
        <x:v>1236</x:v>
      </x:c>
      <x:c r="M22" s="7"/>
      <x:c r="N22" s="7" t="s">
        <x:v>1045</x:v>
      </x:c>
      <x:c r="O22" s="7" t="s">
        <x:v>1275</x:v>
      </x:c>
      <x:c r="P22" s="7" t="s">
        <x:v>1276</x:v>
      </x:c>
      <x:c r="Q22" s="7" t="s">
        <x:v>1277</x:v>
      </x:c>
      <x:c r="R22" s="15" t="s">
        <x:v>970</x:v>
      </x:c>
      <x:c r="S22" s="7" t="s">
        <x:v>1280</x:v>
      </x:c>
    </x:row>
    <x:row r="23" ht="46.599998474121094" customHeight="1">
      <x:c r="A23" s="14" t="s">
        <x:v>1281</x:v>
      </x:c>
      <x:c r="B23" s="16" t="s">
        <x:v>135</x:v>
      </x:c>
      <x:c r="C23" s="16" t="s">
        <x:v>963</x:v>
      </x:c>
      <x:c r="D23" s="10" t="s">
        <x:v>955</x:v>
      </x:c>
      <x:c r="E23" s="10" t="s">
        <x:v>897</x:v>
      </x:c>
      <x:c r="F23" s="10" t="s">
        <x:v>1282</x:v>
      </x:c>
      <x:c r="G23" s="10" t="s">
        <x:v>1213</x:v>
      </x:c>
      <x:c r="H23" s="10">
        <x:v>0.4</x:v>
      </x:c>
      <x:c r="I23" s="10" t="s">
        <x:v>1235</x:v>
      </x:c>
      <x:c r="J23" s="10" t="s">
        <x:v>1205</x:v>
      </x:c>
      <x:c r="K23" s="10" t="s">
        <x:v>1236</x:v>
      </x:c>
      <x:c r="L23" s="10" t="s">
        <x:v>1236</x:v>
      </x:c>
      <x:c r="M23" s="10"/>
      <x:c r="N23" s="10" t="s">
        <x:v>1045</x:v>
      </x:c>
      <x:c r="O23" s="10" t="s">
        <x:v>1283</x:v>
      </x:c>
      <x:c r="P23" s="10" t="s">
        <x:v>1276</x:v>
      </x:c>
      <x:c r="Q23" s="10" t="s">
        <x:v>1277</x:v>
      </x:c>
      <x:c r="R23" s="16" t="s">
        <x:v>970</x:v>
      </x:c>
      <x:c r="S23" s="10" t="s">
        <x:v>1284</x:v>
      </x:c>
    </x:row>
    <x:row r="24" ht="46.599998474121094" customHeight="1">
      <x:c r="A24" s="13" t="s">
        <x:v>1285</x:v>
      </x:c>
      <x:c r="B24" s="15" t="s">
        <x:v>135</x:v>
      </x:c>
      <x:c r="C24" s="15" t="s">
        <x:v>963</x:v>
      </x:c>
      <x:c r="D24" s="7" t="s">
        <x:v>955</x:v>
      </x:c>
      <x:c r="E24" s="7" t="s">
        <x:v>897</x:v>
      </x:c>
      <x:c r="F24" s="7" t="s">
        <x:v>1282</x:v>
      </x:c>
      <x:c r="G24" s="7" t="s">
        <x:v>1213</x:v>
      </x:c>
      <x:c r="H24" s="7">
        <x:v>0.24</x:v>
      </x:c>
      <x:c r="I24" s="7" t="s">
        <x:v>1235</x:v>
      </x:c>
      <x:c r="J24" s="7" t="s">
        <x:v>1205</x:v>
      </x:c>
      <x:c r="K24" s="7" t="s">
        <x:v>1236</x:v>
      </x:c>
      <x:c r="L24" s="7" t="s">
        <x:v>1236</x:v>
      </x:c>
      <x:c r="M24" s="7"/>
      <x:c r="N24" s="7" t="s">
        <x:v>1045</x:v>
      </x:c>
      <x:c r="O24" s="7" t="s">
        <x:v>1283</x:v>
      </x:c>
      <x:c r="P24" s="7" t="s">
        <x:v>1276</x:v>
      </x:c>
      <x:c r="Q24" s="7" t="s">
        <x:v>1277</x:v>
      </x:c>
      <x:c r="R24" s="15" t="s">
        <x:v>970</x:v>
      </x:c>
      <x:c r="S24" s="7" t="s">
        <x:v>1286</x:v>
      </x:c>
    </x:row>
    <x:row r="25" ht="59.95000076293945" customHeight="1">
      <x:c r="A25" s="14" t="s">
        <x:v>1287</x:v>
      </x:c>
      <x:c r="B25" s="16" t="s">
        <x:v>150</x:v>
      </x:c>
      <x:c r="C25" s="16" t="s">
        <x:v>156</x:v>
      </x:c>
      <x:c r="D25" s="10" t="s">
        <x:v>955</x:v>
      </x:c>
      <x:c r="E25" s="10" t="s">
        <x:v>897</x:v>
      </x:c>
      <x:c r="F25" s="10" t="s">
        <x:v>1222</x:v>
      </x:c>
      <x:c r="G25" s="10" t="s">
        <x:v>1213</x:v>
      </x:c>
      <x:c r="H25" s="10">
        <x:v>0.9</x:v>
      </x:c>
      <x:c r="I25" s="10" t="s">
        <x:v>1214</x:v>
      </x:c>
      <x:c r="J25" s="10" t="s">
        <x:v>1205</x:v>
      </x:c>
      <x:c r="K25" s="10" t="s">
        <x:v>1215</x:v>
      </x:c>
      <x:c r="L25" s="10" t="s">
        <x:v>1224</x:v>
      </x:c>
      <x:c r="M25" s="10"/>
      <x:c r="N25" s="10" t="s">
        <x:v>1288</x:v>
      </x:c>
      <x:c r="O25" s="10" t="s">
        <x:v>1289</x:v>
      </x:c>
      <x:c r="P25" s="10" t="s">
        <x:v>1290</x:v>
      </x:c>
      <x:c r="Q25" s="10" t="s">
        <x:v>1028</x:v>
      </x:c>
      <x:c r="R25" s="16" t="s">
        <x:v>1008</x:v>
      </x:c>
      <x:c r="S25" s="10" t="s">
        <x:v>1291</x:v>
      </x:c>
    </x:row>
    <x:row r="26" ht="59.95000076293945" customHeight="1">
      <x:c r="A26" s="13" t="s">
        <x:v>1292</x:v>
      </x:c>
      <x:c r="B26" s="15" t="s">
        <x:v>150</x:v>
      </x:c>
      <x:c r="C26" s="15" t="s">
        <x:v>156</x:v>
      </x:c>
      <x:c r="D26" s="7" t="s">
        <x:v>955</x:v>
      </x:c>
      <x:c r="E26" s="7" t="s">
        <x:v>897</x:v>
      </x:c>
      <x:c r="F26" s="7" t="s">
        <x:v>1212</x:v>
      </x:c>
      <x:c r="G26" s="7" t="s">
        <x:v>1213</x:v>
      </x:c>
      <x:c r="H26" s="7">
        <x:v>0.6</x:v>
      </x:c>
      <x:c r="I26" s="7" t="s">
        <x:v>1214</x:v>
      </x:c>
      <x:c r="J26" s="7" t="s">
        <x:v>1205</x:v>
      </x:c>
      <x:c r="K26" s="7" t="s">
        <x:v>1236</x:v>
      </x:c>
      <x:c r="L26" s="7" t="s">
        <x:v>1236</x:v>
      </x:c>
      <x:c r="M26" s="7"/>
      <x:c r="N26" s="7" t="s">
        <x:v>1288</x:v>
      </x:c>
      <x:c r="O26" s="7" t="s">
        <x:v>1289</x:v>
      </x:c>
      <x:c r="P26" s="7" t="s">
        <x:v>1290</x:v>
      </x:c>
      <x:c r="Q26" s="7" t="s">
        <x:v>1028</x:v>
      </x:c>
      <x:c r="R26" s="15" t="s">
        <x:v>1008</x:v>
      </x:c>
      <x:c r="S26" s="7" t="s">
        <x:v>1293</x:v>
      </x:c>
    </x:row>
    <x:row r="27" ht="59.95000076293945" customHeight="1">
      <x:c r="A27" s="14" t="s">
        <x:v>1294</x:v>
      </x:c>
      <x:c r="B27" s="16" t="s">
        <x:v>150</x:v>
      </x:c>
      <x:c r="C27" s="16" t="s">
        <x:v>156</x:v>
      </x:c>
      <x:c r="D27" s="10" t="s">
        <x:v>955</x:v>
      </x:c>
      <x:c r="E27" s="10" t="s">
        <x:v>897</x:v>
      </x:c>
      <x:c r="F27" s="10" t="s">
        <x:v>1282</x:v>
      </x:c>
      <x:c r="G27" s="10" t="s">
        <x:v>1213</x:v>
      </x:c>
      <x:c r="H27" s="10">
        <x:v>0.9</x:v>
      </x:c>
      <x:c r="I27" s="10" t="s">
        <x:v>1214</x:v>
      </x:c>
      <x:c r="J27" s="10" t="s">
        <x:v>1205</x:v>
      </x:c>
      <x:c r="K27" s="10" t="s">
        <x:v>1236</x:v>
      </x:c>
      <x:c r="L27" s="10" t="s">
        <x:v>1236</x:v>
      </x:c>
      <x:c r="M27" s="10"/>
      <x:c r="N27" s="10" t="s">
        <x:v>1288</x:v>
      </x:c>
      <x:c r="O27" s="10" t="s">
        <x:v>1289</x:v>
      </x:c>
      <x:c r="P27" s="10" t="s">
        <x:v>1290</x:v>
      </x:c>
      <x:c r="Q27" s="10" t="s">
        <x:v>1028</x:v>
      </x:c>
      <x:c r="R27" s="16" t="s">
        <x:v>1008</x:v>
      </x:c>
      <x:c r="S27" s="10" t="s">
        <x:v>1295</x:v>
      </x:c>
    </x:row>
    <x:row r="28" ht="59.95000076293945" customHeight="1">
      <x:c r="A28" s="13" t="s">
        <x:v>1296</x:v>
      </x:c>
      <x:c r="B28" s="15" t="s">
        <x:v>150</x:v>
      </x:c>
      <x:c r="C28" s="15" t="s">
        <x:v>156</x:v>
      </x:c>
      <x:c r="D28" s="7" t="s">
        <x:v>955</x:v>
      </x:c>
      <x:c r="E28" s="7" t="s">
        <x:v>897</x:v>
      </x:c>
      <x:c r="F28" s="7" t="s">
        <x:v>1282</x:v>
      </x:c>
      <x:c r="G28" s="7" t="s">
        <x:v>1213</x:v>
      </x:c>
      <x:c r="H28" s="7">
        <x:v>0.5</x:v>
      </x:c>
      <x:c r="I28" s="7" t="s">
        <x:v>1214</x:v>
      </x:c>
      <x:c r="J28" s="7" t="s">
        <x:v>1205</x:v>
      </x:c>
      <x:c r="K28" s="7" t="s">
        <x:v>1236</x:v>
      </x:c>
      <x:c r="L28" s="7" t="s">
        <x:v>1236</x:v>
      </x:c>
      <x:c r="M28" s="7"/>
      <x:c r="N28" s="7" t="s">
        <x:v>1288</x:v>
      </x:c>
      <x:c r="O28" s="7" t="s">
        <x:v>1289</x:v>
      </x:c>
      <x:c r="P28" s="7" t="s">
        <x:v>1290</x:v>
      </x:c>
      <x:c r="Q28" s="7" t="s">
        <x:v>1028</x:v>
      </x:c>
      <x:c r="R28" s="15" t="s">
        <x:v>1008</x:v>
      </x:c>
      <x:c r="S28" s="7" t="s">
        <x:v>1297</x:v>
      </x:c>
    </x:row>
    <x:row r="29" ht="86.55000305175781" customHeight="1">
      <x:c r="A29" s="14" t="s">
        <x:v>1298</x:v>
      </x:c>
      <x:c r="B29" s="16" t="s">
        <x:v>150</x:v>
      </x:c>
      <x:c r="C29" s="16" t="s">
        <x:v>1017</x:v>
      </x:c>
      <x:c r="D29" s="10" t="s">
        <x:v>955</x:v>
      </x:c>
      <x:c r="E29" s="10" t="s">
        <x:v>897</x:v>
      </x:c>
      <x:c r="F29" s="10" t="s">
        <x:v>1222</x:v>
      </x:c>
      <x:c r="G29" s="10" t="s">
        <x:v>1213</x:v>
      </x:c>
      <x:c r="H29" s="10">
        <x:v>0.36</x:v>
      </x:c>
      <x:c r="I29" s="10" t="s">
        <x:v>1250</x:v>
      </x:c>
      <x:c r="J29" s="10" t="s">
        <x:v>1223</x:v>
      </x:c>
      <x:c r="K29" s="10"/>
      <x:c r="L29" s="10"/>
      <x:c r="M29" s="10"/>
      <x:c r="N29" s="10" t="s">
        <x:v>1299</x:v>
      </x:c>
      <x:c r="O29" s="10" t="s">
        <x:v>1300</x:v>
      </x:c>
      <x:c r="P29" s="10" t="s">
        <x:v>1301</x:v>
      </x:c>
      <x:c r="Q29" s="10" t="s">
        <x:v>1302</x:v>
      </x:c>
      <x:c r="R29" s="16" t="s">
        <x:v>1303</x:v>
      </x:c>
      <x:c r="S29" s="10" t="s">
        <x:v>1304</x:v>
      </x:c>
    </x:row>
    <x:row r="30" ht="73.1500015258789" customHeight="1">
      <x:c r="A30" s="13" t="s">
        <x:v>1305</x:v>
      </x:c>
      <x:c r="B30" s="15" t="s">
        <x:v>150</x:v>
      </x:c>
      <x:c r="C30" s="15" t="s">
        <x:v>1017</x:v>
      </x:c>
      <x:c r="D30" s="7" t="s">
        <x:v>955</x:v>
      </x:c>
      <x:c r="E30" s="7" t="s">
        <x:v>897</x:v>
      </x:c>
      <x:c r="F30" s="7" t="s">
        <x:v>1222</x:v>
      </x:c>
      <x:c r="G30" s="7" t="s">
        <x:v>1213</x:v>
      </x:c>
      <x:c r="H30" s="7">
        <x:v>0.73</x:v>
      </x:c>
      <x:c r="I30" s="7" t="s">
        <x:v>1250</x:v>
      </x:c>
      <x:c r="J30" s="7" t="s">
        <x:v>1223</x:v>
      </x:c>
      <x:c r="K30" s="7"/>
      <x:c r="L30" s="7"/>
      <x:c r="M30" s="7"/>
      <x:c r="N30" s="7" t="s">
        <x:v>1299</x:v>
      </x:c>
      <x:c r="O30" s="7" t="s">
        <x:v>1306</x:v>
      </x:c>
      <x:c r="P30" s="7" t="s">
        <x:v>1307</x:v>
      </x:c>
      <x:c r="Q30" s="7" t="s">
        <x:v>1302</x:v>
      </x:c>
      <x:c r="R30" s="15" t="s">
        <x:v>1303</x:v>
      </x:c>
      <x:c r="S30" s="7" t="s">
        <x:v>1308</x:v>
      </x:c>
    </x:row>
    <x:row r="31" ht="73.1500015258789" customHeight="1">
      <x:c r="A31" s="14" t="s">
        <x:v>1309</x:v>
      </x:c>
      <x:c r="B31" s="16" t="s">
        <x:v>150</x:v>
      </x:c>
      <x:c r="C31" s="16" t="s">
        <x:v>1017</x:v>
      </x:c>
      <x:c r="D31" s="10" t="s">
        <x:v>955</x:v>
      </x:c>
      <x:c r="E31" s="10" t="s">
        <x:v>897</x:v>
      </x:c>
      <x:c r="F31" s="10" t="s">
        <x:v>1310</x:v>
      </x:c>
      <x:c r="G31" s="10" t="s">
        <x:v>1213</x:v>
      </x:c>
      <x:c r="H31" s="10">
        <x:v>0.34</x:v>
      </x:c>
      <x:c r="I31" s="10" t="s">
        <x:v>1250</x:v>
      </x:c>
      <x:c r="J31" s="10" t="s">
        <x:v>1205</x:v>
      </x:c>
      <x:c r="K31" s="10"/>
      <x:c r="L31" s="10"/>
      <x:c r="M31" s="10"/>
      <x:c r="N31" s="10" t="s">
        <x:v>1299</x:v>
      </x:c>
      <x:c r="O31" s="10" t="s">
        <x:v>1311</x:v>
      </x:c>
      <x:c r="P31" s="10" t="s">
        <x:v>1301</x:v>
      </x:c>
      <x:c r="Q31" s="10" t="s">
        <x:v>1302</x:v>
      </x:c>
      <x:c r="R31" s="16" t="s">
        <x:v>1303</x:v>
      </x:c>
      <x:c r="S31" s="10" t="s">
        <x:v>1312</x:v>
      </x:c>
    </x:row>
    <x:row r="32" ht="59.95000076293945" customHeight="1">
      <x:c r="A32" s="13" t="s">
        <x:v>1313</x:v>
      </x:c>
      <x:c r="B32" s="15" t="s">
        <x:v>150</x:v>
      </x:c>
      <x:c r="C32" s="15" t="s">
        <x:v>1017</x:v>
      </x:c>
      <x:c r="D32" s="7" t="s">
        <x:v>955</x:v>
      </x:c>
      <x:c r="E32" s="7" t="s">
        <x:v>897</x:v>
      </x:c>
      <x:c r="F32" s="7" t="s">
        <x:v>1310</x:v>
      </x:c>
      <x:c r="G32" s="7" t="s">
        <x:v>1213</x:v>
      </x:c>
      <x:c r="H32" s="7">
        <x:v>0.28000000000000003</x:v>
      </x:c>
      <x:c r="I32" s="7" t="s">
        <x:v>1250</x:v>
      </x:c>
      <x:c r="J32" s="7" t="s">
        <x:v>1205</x:v>
      </x:c>
      <x:c r="K32" s="7"/>
      <x:c r="L32" s="7"/>
      <x:c r="M32" s="7"/>
      <x:c r="N32" s="7" t="s">
        <x:v>1299</x:v>
      </x:c>
      <x:c r="O32" s="7" t="s">
        <x:v>1314</x:v>
      </x:c>
      <x:c r="P32" s="7" t="s">
        <x:v>1307</x:v>
      </x:c>
      <x:c r="Q32" s="7" t="s">
        <x:v>1302</x:v>
      </x:c>
      <x:c r="R32" s="15" t="s">
        <x:v>1303</x:v>
      </x:c>
      <x:c r="S32" s="7" t="s">
        <x:v>1315</x:v>
      </x:c>
    </x:row>
    <x:row r="33" ht="46.599998474121094" customHeight="1">
      <x:c r="A33" s="14" t="s">
        <x:v>1316</x:v>
      </x:c>
      <x:c r="B33" s="16" t="s">
        <x:v>164</x:v>
      </x:c>
      <x:c r="C33" s="16" t="s">
        <x:v>1036</x:v>
      </x:c>
      <x:c r="D33" s="10" t="s">
        <x:v>955</x:v>
      </x:c>
      <x:c r="E33" s="10" t="s">
        <x:v>897</x:v>
      </x:c>
      <x:c r="F33" s="10" t="s">
        <x:v>1212</x:v>
      </x:c>
      <x:c r="G33" s="10" t="s">
        <x:v>1213</x:v>
      </x:c>
      <x:c r="H33" s="10">
        <x:v>0.72</x:v>
      </x:c>
      <x:c r="I33" s="10" t="s">
        <x:v>1250</x:v>
      </x:c>
      <x:c r="J33" s="10" t="s">
        <x:v>1205</x:v>
      </x:c>
      <x:c r="K33" s="10" t="s">
        <x:v>1216</x:v>
      </x:c>
      <x:c r="L33" s="10" t="s">
        <x:v>1216</x:v>
      </x:c>
      <x:c r="M33" s="10"/>
      <x:c r="N33" s="10" t="s">
        <x:v>1038</x:v>
      </x:c>
      <x:c r="O33" s="10" t="s">
        <x:v>1289</x:v>
      </x:c>
      <x:c r="P33" s="10" t="s">
        <x:v>1040</x:v>
      </x:c>
      <x:c r="Q33" s="10" t="s">
        <x:v>1041</x:v>
      </x:c>
      <x:c r="R33" s="16" t="s">
        <x:v>177</x:v>
      </x:c>
      <x:c r="S33" s="10" t="s">
        <x:v>1317</x:v>
      </x:c>
    </x:row>
    <x:row r="34" ht="46.599998474121094" customHeight="1">
      <x:c r="A34" s="13" t="s">
        <x:v>1318</x:v>
      </x:c>
      <x:c r="B34" s="15" t="s">
        <x:v>164</x:v>
      </x:c>
      <x:c r="C34" s="15" t="s">
        <x:v>1036</x:v>
      </x:c>
      <x:c r="D34" s="7" t="s">
        <x:v>955</x:v>
      </x:c>
      <x:c r="E34" s="7" t="s">
        <x:v>897</x:v>
      </x:c>
      <x:c r="F34" s="7" t="s">
        <x:v>1222</x:v>
      </x:c>
      <x:c r="G34" s="7" t="s">
        <x:v>1213</x:v>
      </x:c>
      <x:c r="H34" s="7"/>
      <x:c r="I34" s="7"/>
      <x:c r="J34" s="7" t="s">
        <x:v>1205</x:v>
      </x:c>
      <x:c r="K34" s="7" t="s">
        <x:v>1216</x:v>
      </x:c>
      <x:c r="L34" s="7" t="s">
        <x:v>1216</x:v>
      </x:c>
      <x:c r="M34" s="7"/>
      <x:c r="N34" s="7" t="s">
        <x:v>1038</x:v>
      </x:c>
      <x:c r="O34" s="7" t="s">
        <x:v>1289</x:v>
      </x:c>
      <x:c r="P34" s="7" t="s">
        <x:v>1040</x:v>
      </x:c>
      <x:c r="Q34" s="7" t="s">
        <x:v>1041</x:v>
      </x:c>
      <x:c r="R34" s="15" t="s">
        <x:v>177</x:v>
      </x:c>
      <x:c r="S34" s="7" t="s">
        <x:v>1319</x:v>
      </x:c>
    </x:row>
    <x:row r="35" ht="46.599998474121094" customHeight="1">
      <x:c r="A35" s="14" t="s">
        <x:v>1320</x:v>
      </x:c>
      <x:c r="B35" s="16" t="s">
        <x:v>164</x:v>
      </x:c>
      <x:c r="C35" s="16" t="s">
        <x:v>1036</x:v>
      </x:c>
      <x:c r="D35" s="10" t="s">
        <x:v>955</x:v>
      </x:c>
      <x:c r="E35" s="10" t="s">
        <x:v>897</x:v>
      </x:c>
      <x:c r="F35" s="10" t="s">
        <x:v>1321</x:v>
      </x:c>
      <x:c r="G35" s="10" t="s">
        <x:v>1213</x:v>
      </x:c>
      <x:c r="H35" s="10"/>
      <x:c r="I35" s="10"/>
      <x:c r="J35" s="10" t="s">
        <x:v>1205</x:v>
      </x:c>
      <x:c r="K35" s="10" t="s">
        <x:v>1216</x:v>
      </x:c>
      <x:c r="L35" s="10" t="s">
        <x:v>1216</x:v>
      </x:c>
      <x:c r="M35" s="10"/>
      <x:c r="N35" s="10" t="s">
        <x:v>1038</x:v>
      </x:c>
      <x:c r="O35" s="10" t="s">
        <x:v>1289</x:v>
      </x:c>
      <x:c r="P35" s="10" t="s">
        <x:v>1040</x:v>
      </x:c>
      <x:c r="Q35" s="10" t="s">
        <x:v>1041</x:v>
      </x:c>
      <x:c r="R35" s="16" t="s">
        <x:v>177</x:v>
      </x:c>
      <x:c r="S35" s="10" t="s">
        <x:v>1322</x:v>
      </x:c>
    </x:row>
    <x:row r="36" ht="46.599998474121094" customHeight="1">
      <x:c r="A36" s="13" t="s">
        <x:v>1323</x:v>
      </x:c>
      <x:c r="B36" s="15" t="s">
        <x:v>178</x:v>
      </x:c>
      <x:c r="C36" s="15" t="s">
        <x:v>1080</x:v>
      </x:c>
      <x:c r="D36" s="7" t="s">
        <x:v>1324</x:v>
      </x:c>
      <x:c r="E36" s="7" t="s">
        <x:v>897</x:v>
      </x:c>
      <x:c r="F36" s="7" t="s">
        <x:v>1222</x:v>
      </x:c>
      <x:c r="G36" s="7" t="s">
        <x:v>1213</x:v>
      </x:c>
      <x:c r="H36" s="7">
        <x:v>1.5</x:v>
      </x:c>
      <x:c r="I36" s="7" t="s">
        <x:v>1214</x:v>
      </x:c>
      <x:c r="J36" s="7" t="s">
        <x:v>1223</x:v>
      </x:c>
      <x:c r="K36" s="7" t="s">
        <x:v>1216</x:v>
      </x:c>
      <x:c r="L36" s="7" t="s">
        <x:v>1215</x:v>
      </x:c>
      <x:c r="M36" s="7"/>
      <x:c r="N36" s="7" t="s">
        <x:v>1325</x:v>
      </x:c>
      <x:c r="O36" s="7" t="s">
        <x:v>1326</x:v>
      </x:c>
      <x:c r="P36" s="7" t="s">
        <x:v>1327</x:v>
      </x:c>
      <x:c r="Q36" s="7" t="s">
        <x:v>1084</x:v>
      </x:c>
      <x:c r="R36" s="15" t="s">
        <x:v>191</x:v>
      </x:c>
      <x:c r="S36" s="7" t="s">
        <x:v>1328</x:v>
      </x:c>
    </x:row>
    <x:row r="37" ht="46.599998474121094" customHeight="1">
      <x:c r="A37" s="14" t="s">
        <x:v>1329</x:v>
      </x:c>
      <x:c r="B37" s="16" t="s">
        <x:v>178</x:v>
      </x:c>
      <x:c r="C37" s="16" t="s">
        <x:v>1080</x:v>
      </x:c>
      <x:c r="D37" s="10" t="s">
        <x:v>1324</x:v>
      </x:c>
      <x:c r="E37" s="10" t="s">
        <x:v>897</x:v>
      </x:c>
      <x:c r="F37" s="10" t="s">
        <x:v>1222</x:v>
      </x:c>
      <x:c r="G37" s="10" t="s">
        <x:v>1213</x:v>
      </x:c>
      <x:c r="H37" s="10">
        <x:v>0.5</x:v>
      </x:c>
      <x:c r="I37" s="10" t="s">
        <x:v>1214</x:v>
      </x:c>
      <x:c r="J37" s="10" t="s">
        <x:v>1223</x:v>
      </x:c>
      <x:c r="K37" s="10" t="s">
        <x:v>1216</x:v>
      </x:c>
      <x:c r="L37" s="10" t="s">
        <x:v>1215</x:v>
      </x:c>
      <x:c r="M37" s="10"/>
      <x:c r="N37" s="10" t="s">
        <x:v>1325</x:v>
      </x:c>
      <x:c r="O37" s="10" t="s">
        <x:v>1326</x:v>
      </x:c>
      <x:c r="P37" s="10" t="s">
        <x:v>1330</x:v>
      </x:c>
      <x:c r="Q37" s="10" t="s">
        <x:v>1084</x:v>
      </x:c>
      <x:c r="R37" s="16" t="s">
        <x:v>191</x:v>
      </x:c>
      <x:c r="S37" s="10" t="s">
        <x:v>1331</x:v>
      </x:c>
    </x:row>
    <x:row r="38" ht="46.599998474121094" customHeight="1">
      <x:c r="A38" s="13" t="s">
        <x:v>1332</x:v>
      </x:c>
      <x:c r="B38" s="15" t="s">
        <x:v>192</x:v>
      </x:c>
      <x:c r="C38" s="15" t="s">
        <x:v>1090</x:v>
      </x:c>
      <x:c r="D38" s="7" t="s">
        <x:v>1091</x:v>
      </x:c>
      <x:c r="E38" s="7" t="s">
        <x:v>897</x:v>
      </x:c>
      <x:c r="F38" s="7" t="s">
        <x:v>1222</x:v>
      </x:c>
      <x:c r="G38" s="7" t="s">
        <x:v>1213</x:v>
      </x:c>
      <x:c r="H38" s="7">
        <x:v>0.37</x:v>
      </x:c>
      <x:c r="I38" s="7" t="s">
        <x:v>1250</x:v>
      </x:c>
      <x:c r="J38" s="7" t="s">
        <x:v>1205</x:v>
      </x:c>
      <x:c r="K38" s="7" t="s">
        <x:v>1215</x:v>
      </x:c>
      <x:c r="L38" s="7" t="s">
        <x:v>1224</x:v>
      </x:c>
      <x:c r="M38" s="7"/>
      <x:c r="N38" s="7" t="s">
        <x:v>1333</x:v>
      </x:c>
      <x:c r="O38" s="7" t="s">
        <x:v>1334</x:v>
      </x:c>
      <x:c r="P38" s="7" t="s">
        <x:v>1093</x:v>
      </x:c>
      <x:c r="Q38" s="7" t="s">
        <x:v>1094</x:v>
      </x:c>
      <x:c r="R38" s="15" t="s">
        <x:v>207</x:v>
      </x:c>
      <x:c r="S38" s="7" t="s">
        <x:v>1335</x:v>
      </x:c>
    </x:row>
    <x:row r="39" ht="59.95000076293945" customHeight="1">
      <x:c r="A39" s="14" t="s">
        <x:v>1336</x:v>
      </x:c>
      <x:c r="B39" s="16" t="s">
        <x:v>208</x:v>
      </x:c>
      <x:c r="C39" s="16" t="s">
        <x:v>216</x:v>
      </x:c>
      <x:c r="D39" s="10" t="s">
        <x:v>1337</x:v>
      </x:c>
      <x:c r="E39" s="10" t="s">
        <x:v>897</x:v>
      </x:c>
      <x:c r="F39" s="10" t="s">
        <x:v>1222</x:v>
      </x:c>
      <x:c r="G39" s="10" t="s">
        <x:v>1213</x:v>
      </x:c>
      <x:c r="H39" s="10">
        <x:v>0.5</x:v>
      </x:c>
      <x:c r="I39" s="10" t="s">
        <x:v>1235</x:v>
      </x:c>
      <x:c r="J39" s="10" t="s">
        <x:v>1205</x:v>
      </x:c>
      <x:c r="K39" s="10" t="s">
        <x:v>1236</x:v>
      </x:c>
      <x:c r="L39" s="10" t="s">
        <x:v>1236</x:v>
      </x:c>
      <x:c r="M39" s="10"/>
      <x:c r="N39" s="10" t="s">
        <x:v>1338</x:v>
      </x:c>
      <x:c r="O39" s="10" t="s">
        <x:v>1339</x:v>
      </x:c>
      <x:c r="P39" s="10" t="s">
        <x:v>1103</x:v>
      </x:c>
      <x:c r="Q39" s="10" t="s">
        <x:v>1340</x:v>
      </x:c>
      <x:c r="R39" s="16" t="s">
        <x:v>1341</x:v>
      </x:c>
      <x:c r="S39" s="10" t="s">
        <x:v>1342</x:v>
      </x:c>
    </x:row>
    <x:row r="40" ht="46.599998474121094" customHeight="1">
      <x:c r="A40" s="13" t="s">
        <x:v>1343</x:v>
      </x:c>
      <x:c r="B40" s="15" t="s">
        <x:v>223</x:v>
      </x:c>
      <x:c r="C40" s="15" t="s">
        <x:v>229</x:v>
      </x:c>
      <x:c r="D40" s="7" t="s">
        <x:v>955</x:v>
      </x:c>
      <x:c r="E40" s="7" t="s">
        <x:v>897</x:v>
      </x:c>
      <x:c r="F40" s="7" t="s">
        <x:v>1212</x:v>
      </x:c>
      <x:c r="G40" s="7" t="s">
        <x:v>1213</x:v>
      </x:c>
      <x:c r="H40" s="7"/>
      <x:c r="I40" s="7" t="s">
        <x:v>1344</x:v>
      </x:c>
      <x:c r="J40" s="7" t="s">
        <x:v>1205</x:v>
      </x:c>
      <x:c r="K40" s="7" t="s">
        <x:v>1236</x:v>
      </x:c>
      <x:c r="L40" s="7" t="s">
        <x:v>1236</x:v>
      </x:c>
      <x:c r="M40" s="7"/>
      <x:c r="N40" s="7" t="s">
        <x:v>1345</x:v>
      </x:c>
      <x:c r="O40" s="7" t="s">
        <x:v>1346</x:v>
      </x:c>
      <x:c r="P40" s="7"/>
      <x:c r="Q40" s="7" t="s">
        <x:v>1347</x:v>
      </x:c>
      <x:c r="R40" s="15" t="s">
        <x:v>1348</x:v>
      </x:c>
      <x:c r="S40" s="7" t="s">
        <x:v>1349</x:v>
      </x:c>
    </x:row>
    <x:row r="41" ht="46.599998474121094" customHeight="1">
      <x:c r="A41" s="14" t="s">
        <x:v>1350</x:v>
      </x:c>
      <x:c r="B41" s="16" t="s">
        <x:v>223</x:v>
      </x:c>
      <x:c r="C41" s="16" t="s">
        <x:v>1116</x:v>
      </x:c>
      <x:c r="D41" s="10" t="s">
        <x:v>955</x:v>
      </x:c>
      <x:c r="E41" s="10" t="s">
        <x:v>897</x:v>
      </x:c>
      <x:c r="F41" s="10" t="s">
        <x:v>1212</x:v>
      </x:c>
      <x:c r="G41" s="10" t="s">
        <x:v>1213</x:v>
      </x:c>
      <x:c r="H41" s="10"/>
      <x:c r="I41" s="10" t="s">
        <x:v>1344</x:v>
      </x:c>
      <x:c r="J41" s="10" t="s">
        <x:v>1205</x:v>
      </x:c>
      <x:c r="K41" s="10"/>
      <x:c r="L41" s="10"/>
      <x:c r="M41" s="10"/>
      <x:c r="N41" s="10" t="s">
        <x:v>1351</x:v>
      </x:c>
      <x:c r="O41" s="10" t="s">
        <x:v>1346</x:v>
      </x:c>
      <x:c r="P41" s="10"/>
      <x:c r="Q41" s="10" t="s">
        <x:v>1347</x:v>
      </x:c>
      <x:c r="R41" s="16" t="s">
        <x:v>1348</x:v>
      </x:c>
      <x:c r="S41" s="10" t="s">
        <x:v>1352</x:v>
      </x:c>
    </x:row>
    <x:row r="42" ht="46.599998474121094" customHeight="1">
      <x:c r="A42" s="13" t="s">
        <x:v>1353</x:v>
      </x:c>
      <x:c r="B42" s="15" t="s">
        <x:v>237</x:v>
      </x:c>
      <x:c r="C42" s="15" t="s">
        <x:v>244</x:v>
      </x:c>
      <x:c r="D42" s="7" t="s">
        <x:v>1121</x:v>
      </x:c>
      <x:c r="E42" s="7" t="s">
        <x:v>897</x:v>
      </x:c>
      <x:c r="F42" s="7" t="s">
        <x:v>1222</x:v>
      </x:c>
      <x:c r="G42" s="7" t="s">
        <x:v>1213</x:v>
      </x:c>
      <x:c r="H42" s="7">
        <x:v>2</x:v>
      </x:c>
      <x:c r="I42" s="7" t="s">
        <x:v>1214</x:v>
      </x:c>
      <x:c r="J42" s="7" t="s">
        <x:v>1223</x:v>
      </x:c>
      <x:c r="K42" s="7" t="s">
        <x:v>1236</x:v>
      </x:c>
      <x:c r="L42" s="7" t="s">
        <x:v>1236</x:v>
      </x:c>
      <x:c r="M42" s="7" t="s">
        <x:v>1354</x:v>
      </x:c>
      <x:c r="N42" s="7" t="s">
        <x:v>1045</x:v>
      </x:c>
      <x:c r="O42" s="7" t="s">
        <x:v>1346</x:v>
      </x:c>
      <x:c r="P42" s="7" t="s">
        <x:v>1355</x:v>
      </x:c>
      <x:c r="Q42" s="7" t="s">
        <x:v>1124</x:v>
      </x:c>
      <x:c r="R42" s="15" t="s">
        <x:v>1126</x:v>
      </x:c>
      <x:c r="S42" s="7" t="s">
        <x:v>1356</x:v>
      </x:c>
    </x:row>
    <x:row r="43" ht="46.599998474121094" customHeight="1">
      <x:c r="A43" s="14" t="s">
        <x:v>1357</x:v>
      </x:c>
      <x:c r="B43" s="16" t="s">
        <x:v>237</x:v>
      </x:c>
      <x:c r="C43" s="16" t="s">
        <x:v>244</x:v>
      </x:c>
      <x:c r="D43" s="10" t="s">
        <x:v>1121</x:v>
      </x:c>
      <x:c r="E43" s="10" t="s">
        <x:v>897</x:v>
      </x:c>
      <x:c r="F43" s="10" t="s">
        <x:v>1222</x:v>
      </x:c>
      <x:c r="G43" s="10" t="s">
        <x:v>1213</x:v>
      </x:c>
      <x:c r="H43" s="10">
        <x:v>0.5</x:v>
      </x:c>
      <x:c r="I43" s="10" t="s">
        <x:v>1214</x:v>
      </x:c>
      <x:c r="J43" s="10" t="s">
        <x:v>1223</x:v>
      </x:c>
      <x:c r="K43" s="10" t="s">
        <x:v>1236</x:v>
      </x:c>
      <x:c r="L43" s="10" t="s">
        <x:v>1236</x:v>
      </x:c>
      <x:c r="M43" s="10" t="s">
        <x:v>1354</x:v>
      </x:c>
      <x:c r="N43" s="10" t="s">
        <x:v>1045</x:v>
      </x:c>
      <x:c r="O43" s="10" t="s">
        <x:v>1346</x:v>
      </x:c>
      <x:c r="P43" s="10" t="s">
        <x:v>1358</x:v>
      </x:c>
      <x:c r="Q43" s="10" t="s">
        <x:v>1124</x:v>
      </x:c>
      <x:c r="R43" s="16" t="s">
        <x:v>1126</x:v>
      </x:c>
      <x:c r="S43" s="10" t="s">
        <x:v>1359</x:v>
      </x:c>
    </x:row>
    <x:row r="44" ht="46.599998474121094" customHeight="1">
      <x:c r="A44" s="13" t="s">
        <x:v>1360</x:v>
      </x:c>
      <x:c r="B44" s="15" t="s">
        <x:v>237</x:v>
      </x:c>
      <x:c r="C44" s="15" t="s">
        <x:v>244</x:v>
      </x:c>
      <x:c r="D44" s="7" t="s">
        <x:v>1121</x:v>
      </x:c>
      <x:c r="E44" s="7" t="s">
        <x:v>897</x:v>
      </x:c>
      <x:c r="F44" s="7" t="s">
        <x:v>1222</x:v>
      </x:c>
      <x:c r="G44" s="7" t="s">
        <x:v>1213</x:v>
      </x:c>
      <x:c r="H44" s="7"/>
      <x:c r="I44" s="7"/>
      <x:c r="J44" s="7" t="s">
        <x:v>1223</x:v>
      </x:c>
      <x:c r="K44" s="7" t="s">
        <x:v>1236</x:v>
      </x:c>
      <x:c r="L44" s="7" t="s">
        <x:v>1236</x:v>
      </x:c>
      <x:c r="M44" s="7" t="s">
        <x:v>1361</x:v>
      </x:c>
      <x:c r="N44" s="7" t="s">
        <x:v>1045</x:v>
      </x:c>
      <x:c r="O44" s="7" t="s">
        <x:v>1346</x:v>
      </x:c>
      <x:c r="P44" s="7" t="s">
        <x:v>1362</x:v>
      </x:c>
      <x:c r="Q44" s="7" t="s">
        <x:v>1124</x:v>
      </x:c>
      <x:c r="R44" s="15" t="s">
        <x:v>1126</x:v>
      </x:c>
      <x:c r="S44" s="7" t="s">
        <x:v>1363</x:v>
      </x:c>
    </x:row>
    <x:row r="45" ht="46.599998474121094" customHeight="1">
      <x:c r="A45" s="14" t="s">
        <x:v>1364</x:v>
      </x:c>
      <x:c r="B45" s="16" t="s">
        <x:v>252</x:v>
      </x:c>
      <x:c r="C45" s="16" t="s">
        <x:v>259</x:v>
      </x:c>
      <x:c r="D45" s="10" t="s">
        <x:v>1127</x:v>
      </x:c>
      <x:c r="E45" s="10" t="s">
        <x:v>897</x:v>
      </x:c>
      <x:c r="F45" s="10" t="s">
        <x:v>1222</x:v>
      </x:c>
      <x:c r="G45" s="10" t="s">
        <x:v>1213</x:v>
      </x:c>
      <x:c r="H45" s="10">
        <x:v>1</x:v>
      </x:c>
      <x:c r="I45" s="10" t="s">
        <x:v>1214</x:v>
      </x:c>
      <x:c r="J45" s="10" t="s">
        <x:v>1205</x:v>
      </x:c>
      <x:c r="K45" s="10" t="s">
        <x:v>1236</x:v>
      </x:c>
      <x:c r="L45" s="10" t="s">
        <x:v>1236</x:v>
      </x:c>
      <x:c r="M45" s="10"/>
      <x:c r="N45" s="10" t="s">
        <x:v>1365</x:v>
      </x:c>
      <x:c r="O45" s="10" t="s">
        <x:v>1346</x:v>
      </x:c>
      <x:c r="P45" s="10" t="s">
        <x:v>1129</x:v>
      </x:c>
      <x:c r="Q45" s="10" t="s">
        <x:v>1130</x:v>
      </x:c>
      <x:c r="R45" s="16" t="s">
        <x:v>266</x:v>
      </x:c>
      <x:c r="S45" s="10" t="s">
        <x:v>1366</x:v>
      </x:c>
    </x:row>
    <x:row r="46" ht="46.599998474121094" customHeight="1">
      <x:c r="A46" s="13" t="s">
        <x:v>1367</x:v>
      </x:c>
      <x:c r="B46" s="15" t="s">
        <x:v>252</x:v>
      </x:c>
      <x:c r="C46" s="15" t="s">
        <x:v>1132</x:v>
      </x:c>
      <x:c r="D46" s="7" t="s">
        <x:v>1133</x:v>
      </x:c>
      <x:c r="E46" s="7" t="s">
        <x:v>923</x:v>
      </x:c>
      <x:c r="F46" s="7" t="s">
        <x:v>1222</x:v>
      </x:c>
      <x:c r="G46" s="7" t="s">
        <x:v>1213</x:v>
      </x:c>
      <x:c r="H46" s="7">
        <x:v>0.5</x:v>
      </x:c>
      <x:c r="I46" s="7" t="s">
        <x:v>1214</x:v>
      </x:c>
      <x:c r="J46" s="7" t="s">
        <x:v>1205</x:v>
      </x:c>
      <x:c r="K46" s="7" t="s">
        <x:v>1236</x:v>
      </x:c>
      <x:c r="L46" s="7" t="s">
        <x:v>1236</x:v>
      </x:c>
      <x:c r="M46" s="7"/>
      <x:c r="N46" s="7" t="s">
        <x:v>1368</x:v>
      </x:c>
      <x:c r="O46" s="7" t="s">
        <x:v>1346</x:v>
      </x:c>
      <x:c r="P46" s="7" t="s">
        <x:v>1135</x:v>
      </x:c>
      <x:c r="Q46" s="7" t="s">
        <x:v>1130</x:v>
      </x:c>
      <x:c r="R46" s="15" t="s">
        <x:v>266</x:v>
      </x:c>
      <x:c r="S46" s="7" t="s">
        <x:v>1369</x:v>
      </x:c>
    </x:row>
    <x:row r="47" ht="46.599998474121094" customHeight="1">
      <x:c r="A47" s="14" t="s">
        <x:v>1370</x:v>
      </x:c>
      <x:c r="B47" s="16" t="s">
        <x:v>252</x:v>
      </x:c>
      <x:c r="C47" s="16" t="s">
        <x:v>1132</x:v>
      </x:c>
      <x:c r="D47" s="10" t="s">
        <x:v>1133</x:v>
      </x:c>
      <x:c r="E47" s="10" t="s">
        <x:v>923</x:v>
      </x:c>
      <x:c r="F47" s="10" t="s">
        <x:v>1371</x:v>
      </x:c>
      <x:c r="G47" s="10" t="s">
        <x:v>1204</x:v>
      </x:c>
      <x:c r="H47" s="10"/>
      <x:c r="I47" s="10"/>
      <x:c r="J47" s="10" t="s">
        <x:v>1205</x:v>
      </x:c>
      <x:c r="K47" s="10" t="s">
        <x:v>1236</x:v>
      </x:c>
      <x:c r="L47" s="10" t="s">
        <x:v>1236</x:v>
      </x:c>
      <x:c r="M47" s="10"/>
      <x:c r="N47" s="10" t="s">
        <x:v>1368</x:v>
      </x:c>
      <x:c r="O47" s="10" t="s">
        <x:v>1346</x:v>
      </x:c>
      <x:c r="P47" s="10" t="s">
        <x:v>1135</x:v>
      </x:c>
      <x:c r="Q47" s="10" t="s">
        <x:v>1130</x:v>
      </x:c>
      <x:c r="R47" s="16" t="s">
        <x:v>266</x:v>
      </x:c>
      <x:c r="S47" s="10" t="s">
        <x:v>1372</x:v>
      </x:c>
    </x:row>
    <x:row r="48" ht="46.599998474121094" customHeight="1">
      <x:c r="A48" s="13" t="s">
        <x:v>1373</x:v>
      </x:c>
      <x:c r="B48" s="15" t="s">
        <x:v>267</x:v>
      </x:c>
      <x:c r="C48" s="15" t="s">
        <x:v>273</x:v>
      </x:c>
      <x:c r="D48" s="7" t="s">
        <x:v>1374</x:v>
      </x:c>
      <x:c r="E48" s="7" t="s">
        <x:v>897</x:v>
      </x:c>
      <x:c r="F48" s="7" t="s">
        <x:v>1222</x:v>
      </x:c>
      <x:c r="G48" s="7" t="s">
        <x:v>1213</x:v>
      </x:c>
      <x:c r="H48" s="7">
        <x:v>0.68</x:v>
      </x:c>
      <x:c r="I48" s="7" t="s">
        <x:v>1214</x:v>
      </x:c>
      <x:c r="J48" s="7" t="s">
        <x:v>1205</x:v>
      </x:c>
      <x:c r="K48" s="7" t="s">
        <x:v>1215</x:v>
      </x:c>
      <x:c r="L48" s="7"/>
      <x:c r="M48" s="7"/>
      <x:c r="N48" s="7" t="s">
        <x:v>1375</x:v>
      </x:c>
      <x:c r="O48" s="7" t="s">
        <x:v>1376</x:v>
      </x:c>
      <x:c r="P48" s="7" t="s">
        <x:v>1140</x:v>
      </x:c>
      <x:c r="Q48" s="7" t="s">
        <x:v>1377</x:v>
      </x:c>
      <x:c r="R48" s="15" t="s">
        <x:v>1378</x:v>
      </x:c>
      <x:c r="S48" s="7" t="s">
        <x:v>1379</x:v>
      </x:c>
    </x:row>
    <x:row r="49" ht="46.599998474121094" customHeight="1">
      <x:c r="A49" s="14" t="s">
        <x:v>1380</x:v>
      </x:c>
      <x:c r="B49" s="16" t="s">
        <x:v>267</x:v>
      </x:c>
      <x:c r="C49" s="16" t="s">
        <x:v>273</x:v>
      </x:c>
      <x:c r="D49" s="10" t="s">
        <x:v>1374</x:v>
      </x:c>
      <x:c r="E49" s="10" t="s">
        <x:v>897</x:v>
      </x:c>
      <x:c r="F49" s="10" t="s">
        <x:v>1310</x:v>
      </x:c>
      <x:c r="G49" s="10" t="s">
        <x:v>1213</x:v>
      </x:c>
      <x:c r="H49" s="10">
        <x:v>0.22</x:v>
      </x:c>
      <x:c r="I49" s="10" t="s">
        <x:v>1250</x:v>
      </x:c>
      <x:c r="J49" s="10" t="s">
        <x:v>1205</x:v>
      </x:c>
      <x:c r="K49" s="10"/>
      <x:c r="L49" s="10"/>
      <x:c r="M49" s="10"/>
      <x:c r="N49" s="10" t="s">
        <x:v>1375</x:v>
      </x:c>
      <x:c r="O49" s="10" t="s">
        <x:v>1381</x:v>
      </x:c>
      <x:c r="P49" s="10" t="s">
        <x:v>1140</x:v>
      </x:c>
      <x:c r="Q49" s="10" t="s">
        <x:v>1302</x:v>
      </x:c>
      <x:c r="R49" s="16" t="s">
        <x:v>1303</x:v>
      </x:c>
      <x:c r="S49" s="10" t="s">
        <x:v>1382</x:v>
      </x:c>
    </x:row>
    <x:row r="50" ht="46.599998474121094" customHeight="1">
      <x:c r="A50" s="13" t="s">
        <x:v>1383</x:v>
      </x:c>
      <x:c r="B50" s="15" t="s">
        <x:v>267</x:v>
      </x:c>
      <x:c r="C50" s="15" t="s">
        <x:v>273</x:v>
      </x:c>
      <x:c r="D50" s="7" t="s">
        <x:v>1374</x:v>
      </x:c>
      <x:c r="E50" s="7" t="s">
        <x:v>897</x:v>
      </x:c>
      <x:c r="F50" s="7" t="s">
        <x:v>1222</x:v>
      </x:c>
      <x:c r="G50" s="7" t="s">
        <x:v>1213</x:v>
      </x:c>
      <x:c r="H50" s="7"/>
      <x:c r="I50" s="7"/>
      <x:c r="J50" s="7" t="s">
        <x:v>1223</x:v>
      </x:c>
      <x:c r="K50" s="7" t="s">
        <x:v>1236</x:v>
      </x:c>
      <x:c r="L50" s="7" t="s">
        <x:v>1236</x:v>
      </x:c>
      <x:c r="M50" s="7"/>
      <x:c r="N50" s="7" t="s">
        <x:v>1384</x:v>
      </x:c>
      <x:c r="O50" s="7" t="s">
        <x:v>1385</x:v>
      </x:c>
      <x:c r="P50" s="7" t="s">
        <x:v>1386</x:v>
      </x:c>
      <x:c r="Q50" s="7" t="s">
        <x:v>1387</x:v>
      </x:c>
      <x:c r="R50" s="15" t="s">
        <x:v>1388</x:v>
      </x:c>
      <x:c r="S50" s="7" t="s">
        <x:v>1389</x:v>
      </x:c>
    </x:row>
    <x:row r="51" ht="46.599998474121094" customHeight="1">
      <x:c r="A51" s="14" t="s">
        <x:v>1390</x:v>
      </x:c>
      <x:c r="B51" s="16" t="s">
        <x:v>267</x:v>
      </x:c>
      <x:c r="C51" s="16" t="s">
        <x:v>273</x:v>
      </x:c>
      <x:c r="D51" s="10" t="s">
        <x:v>1374</x:v>
      </x:c>
      <x:c r="E51" s="10" t="s">
        <x:v>897</x:v>
      </x:c>
      <x:c r="F51" s="10" t="s">
        <x:v>1222</x:v>
      </x:c>
      <x:c r="G51" s="10" t="s">
        <x:v>1213</x:v>
      </x:c>
      <x:c r="H51" s="10">
        <x:v>0.46200000000000002</x:v>
      </x:c>
      <x:c r="I51" s="10" t="s">
        <x:v>1214</x:v>
      </x:c>
      <x:c r="J51" s="10" t="s">
        <x:v>1223</x:v>
      </x:c>
      <x:c r="K51" s="10" t="s">
        <x:v>1236</x:v>
      </x:c>
      <x:c r="L51" s="10" t="s">
        <x:v>1236</x:v>
      </x:c>
      <x:c r="M51" s="10"/>
      <x:c r="N51" s="10" t="s">
        <x:v>1384</x:v>
      </x:c>
      <x:c r="O51" s="10" t="s">
        <x:v>1391</x:v>
      </x:c>
      <x:c r="P51" s="10" t="s">
        <x:v>1392</x:v>
      </x:c>
      <x:c r="Q51" s="10" t="s">
        <x:v>1387</x:v>
      </x:c>
      <x:c r="R51" s="16" t="s">
        <x:v>1388</x:v>
      </x:c>
      <x:c r="S51" s="10" t="s">
        <x:v>1393</x:v>
      </x:c>
    </x:row>
    <x:row r="52" ht="46.599998474121094" customHeight="1">
      <x:c r="A52" s="13" t="s">
        <x:v>1394</x:v>
      </x:c>
      <x:c r="B52" s="15" t="s">
        <x:v>294</x:v>
      </x:c>
      <x:c r="C52" s="15" t="s">
        <x:v>300</x:v>
      </x:c>
      <x:c r="D52" s="7" t="s">
        <x:v>1395</x:v>
      </x:c>
      <x:c r="E52" s="7" t="s">
        <x:v>897</x:v>
      </x:c>
      <x:c r="F52" s="7" t="s">
        <x:v>1222</x:v>
      </x:c>
      <x:c r="G52" s="7" t="s">
        <x:v>1213</x:v>
      </x:c>
      <x:c r="H52" s="7">
        <x:v>0.8</x:v>
      </x:c>
      <x:c r="I52" s="7" t="s">
        <x:v>1214</x:v>
      </x:c>
      <x:c r="J52" s="7" t="s">
        <x:v>1205</x:v>
      </x:c>
      <x:c r="K52" s="7" t="s">
        <x:v>1236</x:v>
      </x:c>
      <x:c r="L52" s="7" t="s">
        <x:v>1236</x:v>
      </x:c>
      <x:c r="M52" s="7"/>
      <x:c r="N52" s="7" t="s">
        <x:v>1396</x:v>
      </x:c>
      <x:c r="O52" s="7" t="s">
        <x:v>1397</x:v>
      </x:c>
      <x:c r="P52" s="7" t="s">
        <x:v>303</x:v>
      </x:c>
      <x:c r="Q52" s="7" t="s">
        <x:v>1398</x:v>
      </x:c>
      <x:c r="R52" s="15" t="s">
        <x:v>306</x:v>
      </x:c>
      <x:c r="S52" s="7" t="s">
        <x:v>1399</x:v>
      </x:c>
    </x:row>
    <x:row r="53" ht="46.599998474121094" customHeight="1">
      <x:c r="A53" s="14" t="s">
        <x:v>1400</x:v>
      </x:c>
      <x:c r="B53" s="16" t="s">
        <x:v>294</x:v>
      </x:c>
      <x:c r="C53" s="16" t="s">
        <x:v>300</x:v>
      </x:c>
      <x:c r="D53" s="10" t="s">
        <x:v>1395</x:v>
      </x:c>
      <x:c r="E53" s="10" t="s">
        <x:v>897</x:v>
      </x:c>
      <x:c r="F53" s="10" t="s">
        <x:v>1282</x:v>
      </x:c>
      <x:c r="G53" s="10" t="s">
        <x:v>1213</x:v>
      </x:c>
      <x:c r="H53" s="10">
        <x:v>0.9</x:v>
      </x:c>
      <x:c r="I53" s="10" t="s">
        <x:v>1214</x:v>
      </x:c>
      <x:c r="J53" s="10" t="s">
        <x:v>1205</x:v>
      </x:c>
      <x:c r="K53" s="10" t="s">
        <x:v>1236</x:v>
      </x:c>
      <x:c r="L53" s="10" t="s">
        <x:v>1236</x:v>
      </x:c>
      <x:c r="M53" s="10"/>
      <x:c r="N53" s="10" t="s">
        <x:v>1396</x:v>
      </x:c>
      <x:c r="O53" s="10" t="s">
        <x:v>1397</x:v>
      </x:c>
      <x:c r="P53" s="10" t="s">
        <x:v>303</x:v>
      </x:c>
      <x:c r="Q53" s="10" t="s">
        <x:v>1398</x:v>
      </x:c>
      <x:c r="R53" s="16" t="s">
        <x:v>306</x:v>
      </x:c>
      <x:c r="S53" s="10" t="s">
        <x:v>1401</x:v>
      </x:c>
    </x:row>
    <x:row r="54" ht="46.599998474121094" customHeight="1">
      <x:c r="A54" s="13" t="s">
        <x:v>1402</x:v>
      </x:c>
      <x:c r="B54" s="15" t="s">
        <x:v>294</x:v>
      </x:c>
      <x:c r="C54" s="15" t="s">
        <x:v>300</x:v>
      </x:c>
      <x:c r="D54" s="7" t="s">
        <x:v>1395</x:v>
      </x:c>
      <x:c r="E54" s="7" t="s">
        <x:v>897</x:v>
      </x:c>
      <x:c r="F54" s="7" t="s">
        <x:v>1282</x:v>
      </x:c>
      <x:c r="G54" s="7" t="s">
        <x:v>1213</x:v>
      </x:c>
      <x:c r="H54" s="7">
        <x:v>0.5</x:v>
      </x:c>
      <x:c r="I54" s="7" t="s">
        <x:v>1214</x:v>
      </x:c>
      <x:c r="J54" s="7" t="s">
        <x:v>1205</x:v>
      </x:c>
      <x:c r="K54" s="7" t="s">
        <x:v>1236</x:v>
      </x:c>
      <x:c r="L54" s="7" t="s">
        <x:v>1236</x:v>
      </x:c>
      <x:c r="M54" s="7"/>
      <x:c r="N54" s="7" t="s">
        <x:v>1396</x:v>
      </x:c>
      <x:c r="O54" s="7" t="s">
        <x:v>1397</x:v>
      </x:c>
      <x:c r="P54" s="7" t="s">
        <x:v>303</x:v>
      </x:c>
      <x:c r="Q54" s="7" t="s">
        <x:v>1398</x:v>
      </x:c>
      <x:c r="R54" s="15" t="s">
        <x:v>306</x:v>
      </x:c>
      <x:c r="S54" s="7" t="s">
        <x:v>1403</x:v>
      </x:c>
    </x:row>
    <x:row r="55" ht="59.95000076293945" customHeight="1">
      <x:c r="A55" s="14" t="s">
        <x:v>1404</x:v>
      </x:c>
      <x:c r="B55" s="16" t="s">
        <x:v>307</x:v>
      </x:c>
      <x:c r="C55" s="16" t="s">
        <x:v>313</x:v>
      </x:c>
      <x:c r="D55" s="10" t="s">
        <x:v>1405</x:v>
      </x:c>
      <x:c r="E55" s="10" t="s">
        <x:v>897</x:v>
      </x:c>
      <x:c r="F55" s="10" t="s">
        <x:v>1222</x:v>
      </x:c>
      <x:c r="G55" s="10" t="s">
        <x:v>1213</x:v>
      </x:c>
      <x:c r="H55" s="10">
        <x:v>0.9</x:v>
      </x:c>
      <x:c r="I55" s="10" t="s">
        <x:v>1214</x:v>
      </x:c>
      <x:c r="J55" s="10" t="s">
        <x:v>1205</x:v>
      </x:c>
      <x:c r="K55" s="10" t="s">
        <x:v>1216</x:v>
      </x:c>
      <x:c r="L55" s="10" t="s">
        <x:v>1215</x:v>
      </x:c>
      <x:c r="M55" s="10">
        <x:v>7.5</x:v>
      </x:c>
      <x:c r="N55" s="10" t="s">
        <x:v>1406</x:v>
      </x:c>
      <x:c r="O55" s="10" t="s">
        <x:v>1407</x:v>
      </x:c>
      <x:c r="P55" s="10" t="s">
        <x:v>1408</x:v>
      </x:c>
      <x:c r="Q55" s="10" t="s">
        <x:v>1409</x:v>
      </x:c>
      <x:c r="R55" s="16" t="s">
        <x:v>320</x:v>
      </x:c>
      <x:c r="S55" s="10" t="s">
        <x:v>1410</x:v>
      </x:c>
    </x:row>
    <x:row r="56" ht="59.95000076293945" customHeight="1">
      <x:c r="A56" s="13" t="s">
        <x:v>1411</x:v>
      </x:c>
      <x:c r="B56" s="15" t="s">
        <x:v>307</x:v>
      </x:c>
      <x:c r="C56" s="15" t="s">
        <x:v>313</x:v>
      </x:c>
      <x:c r="D56" s="7" t="s">
        <x:v>1405</x:v>
      </x:c>
      <x:c r="E56" s="7" t="s">
        <x:v>897</x:v>
      </x:c>
      <x:c r="F56" s="7" t="s">
        <x:v>1212</x:v>
      </x:c>
      <x:c r="G56" s="7" t="s">
        <x:v>1213</x:v>
      </x:c>
      <x:c r="H56" s="7">
        <x:v>0.3</x:v>
      </x:c>
      <x:c r="I56" s="7" t="s">
        <x:v>1214</x:v>
      </x:c>
      <x:c r="J56" s="7" t="s">
        <x:v>1205</x:v>
      </x:c>
      <x:c r="K56" s="7" t="s">
        <x:v>1236</x:v>
      </x:c>
      <x:c r="L56" s="7" t="s">
        <x:v>1236</x:v>
      </x:c>
      <x:c r="M56" s="7">
        <x:v>7.5</x:v>
      </x:c>
      <x:c r="N56" s="7" t="s">
        <x:v>1406</x:v>
      </x:c>
      <x:c r="O56" s="7" t="s">
        <x:v>1346</x:v>
      </x:c>
      <x:c r="P56" s="7" t="s">
        <x:v>1408</x:v>
      </x:c>
      <x:c r="Q56" s="7" t="s">
        <x:v>1409</x:v>
      </x:c>
      <x:c r="R56" s="15" t="s">
        <x:v>320</x:v>
      </x:c>
      <x:c r="S56" s="7"/>
    </x:row>
    <x:row r="57" ht="46.599998474121094" customHeight="1">
      <x:c r="A57" s="14" t="s">
        <x:v>1412</x:v>
      </x:c>
      <x:c r="B57" s="16" t="s">
        <x:v>370</x:v>
      </x:c>
      <x:c r="C57" s="16" t="s">
        <x:v>1163</x:v>
      </x:c>
      <x:c r="D57" s="10" t="s">
        <x:v>955</x:v>
      </x:c>
      <x:c r="E57" s="10" t="s">
        <x:v>897</x:v>
      </x:c>
      <x:c r="F57" s="10" t="s">
        <x:v>1222</x:v>
      </x:c>
      <x:c r="G57" s="10" t="s">
        <x:v>1213</x:v>
      </x:c>
      <x:c r="H57" s="10"/>
      <x:c r="I57" s="10"/>
      <x:c r="J57" s="10" t="s">
        <x:v>1223</x:v>
      </x:c>
      <x:c r="K57" s="10"/>
      <x:c r="L57" s="10"/>
      <x:c r="M57" s="10">
        <x:v>8</x:v>
      </x:c>
      <x:c r="N57" s="10" t="s">
        <x:v>1413</x:v>
      </x:c>
      <x:c r="O57" s="10" t="s">
        <x:v>1414</x:v>
      </x:c>
      <x:c r="P57" s="10" t="s">
        <x:v>1415</x:v>
      </x:c>
      <x:c r="Q57" s="10" t="s">
        <x:v>1416</x:v>
      </x:c>
      <x:c r="R57" s="16" t="s">
        <x:v>1417</x:v>
      </x:c>
      <x:c r="S57" s="10" t="s">
        <x:v>1418</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19" customWidth="1"/>
    <x:col min="2" max="2" width="30" customWidth="1"/>
    <x:col min="3" max="4" width="27" customWidth="1"/>
    <x:col min="5" max="7" width="18" customWidth="1"/>
    <x:col min="8" max="8" width="20" customWidth="1"/>
    <x:col min="9" max="9" width="60" customWidth="1"/>
    <x:col min="10" max="10" width="54" customWidth="1"/>
    <x:col min="11" max="11" width="96" customWidth="1"/>
    <x:col min="12" max="12" width="87" customWidth="1"/>
  </x:cols>
  <x:sheetData>
    <x:row r="1" ht="42" customHeight="1">
      <x:c r="A1" s="2" t="s">
        <x:v>81</x:v>
      </x:c>
      <x:c r="B1" s="2" t="s">
        <x:v>1419</x:v>
      </x:c>
      <x:c r="C1" s="2" t="s">
        <x:v>1420</x:v>
      </x:c>
      <x:c r="D1" s="2" t="s">
        <x:v>1421</x:v>
      </x:c>
      <x:c r="E1" s="2" t="s">
        <x:v>1422</x:v>
      </x:c>
      <x:c r="F1" s="2" t="s">
        <x:v>1423</x:v>
      </x:c>
      <x:c r="G1" s="2" t="s">
        <x:v>1424</x:v>
      </x:c>
      <x:c r="H1" s="2" t="s">
        <x:v>1425</x:v>
      </x:c>
      <x:c r="I1" s="2" t="s">
        <x:v>1426</x:v>
      </x:c>
      <x:c r="J1" s="2" t="s">
        <x:v>1427</x:v>
      </x:c>
      <x:c r="K1" s="2" t="s">
        <x:v>893</x:v>
      </x:c>
      <x:c r="L1" s="2" t="s">
        <x:v>1428</x:v>
      </x:c>
    </x:row>
    <x:row r="2" ht="179.64999389648438" customHeight="1">
      <x:c r="A2" s="20" t="s">
        <x:v>114</x:v>
      </x:c>
      <x:c r="B2" s="22" t="s">
        <x:v>1429</x:v>
      </x:c>
      <x:c r="C2" s="1" t="s">
        <x:v>1430</x:v>
      </x:c>
      <x:c r="D2" s="1" t="s">
        <x:v>1431</x:v>
      </x:c>
      <x:c r="E2" s="1">
        <x:v>4140372</x:v>
      </x:c>
      <x:c r="F2" s="1">
        <x:v>4141235</x:v>
      </x:c>
      <x:c r="G2" s="1" t="s">
        <x:v>1432</x:v>
      </x:c>
      <x:c r="H2" s="1" t="n">
        <x:f t="shared" ref="H2:H7" si="0">F2-E2+1</x:f>
        <x:v>864</x:v>
      </x:c>
      <x:c r="I2" s="1" t="s">
        <x:v>1433</x:v>
      </x:c>
      <x:c r="J2" s="1" t="s">
        <x:v>1434</x:v>
      </x:c>
      <x:c r="K2" s="1" t="s">
        <x:v>1435</x:v>
      </x:c>
      <x:c r="L2" s="18" t="s">
        <x:v>1436</x:v>
      </x:c>
    </x:row>
    <x:row r="3" ht="166.35000610351562" customHeight="1">
      <x:c r="A3" s="21" t="s">
        <x:v>135</x:v>
      </x:c>
      <x:c r="B3" s="23" t="s">
        <x:v>1437</x:v>
      </x:c>
      <x:c r="C3" s="3" t="s">
        <x:v>1438</x:v>
      </x:c>
      <x:c r="D3" s="3" t="s">
        <x:v>1439</x:v>
      </x:c>
      <x:c r="E3" s="3">
        <x:v>808697</x:v>
      </x:c>
      <x:c r="F3" s="3">
        <x:v>809494</x:v>
      </x:c>
      <x:c r="G3" s="3" t="s">
        <x:v>1432</x:v>
      </x:c>
      <x:c r="H3" s="3">
        <x:f t="shared" si="0"/>
        <x:v>798</x:v>
      </x:c>
      <x:c r="I3" s="3" t="s">
        <x:v>1440</x:v>
      </x:c>
      <x:c r="J3" s="3" t="s">
        <x:v>1434</x:v>
      </x:c>
      <x:c r="K3" s="3" t="s">
        <x:v>1441</x:v>
      </x:c>
      <x:c r="L3" s="19" t="s">
        <x:v>1442</x:v>
      </x:c>
    </x:row>
    <x:row r="4" ht="166.35000610351562" customHeight="1">
      <x:c r="A4" s="20" t="s">
        <x:v>150</x:v>
      </x:c>
      <x:c r="B4" s="22" t="s">
        <x:v>1443</x:v>
      </x:c>
      <x:c r="C4" s="1" t="s">
        <x:v>1444</x:v>
      </x:c>
      <x:c r="D4" s="1" t="s">
        <x:v>1445</x:v>
      </x:c>
      <x:c r="E4" s="1">
        <x:v>891472</x:v>
      </x:c>
      <x:c r="F4" s="1">
        <x:v>892269</x:v>
      </x:c>
      <x:c r="G4" s="1" t="s">
        <x:v>1432</x:v>
      </x:c>
      <x:c r="H4" s="1">
        <x:f t="shared" si="0"/>
        <x:v>798</x:v>
      </x:c>
      <x:c r="I4" s="1" t="s">
        <x:v>1446</x:v>
      </x:c>
      <x:c r="J4" s="1" t="s">
        <x:v>1434</x:v>
      </x:c>
      <x:c r="K4" s="1" t="s">
        <x:v>1447</x:v>
      </x:c>
      <x:c r="L4" s="18" t="s">
        <x:v>1448</x:v>
      </x:c>
    </x:row>
    <x:row r="5" ht="179.64999389648438" customHeight="1">
      <x:c r="A5" s="21" t="s">
        <x:v>164</x:v>
      </x:c>
      <x:c r="B5" s="23" t="s">
        <x:v>1449</x:v>
      </x:c>
      <x:c r="C5" s="3" t="s">
        <x:v>1450</x:v>
      </x:c>
      <x:c r="D5" s="3" t="s">
        <x:v>1451</x:v>
      </x:c>
      <x:c r="E5" s="3">
        <x:v>3505</x:v>
      </x:c>
      <x:c r="F5" s="3">
        <x:v>4353</x:v>
      </x:c>
      <x:c r="G5" s="3" t="s">
        <x:v>1432</x:v>
      </x:c>
      <x:c r="H5" s="3">
        <x:f t="shared" si="0"/>
        <x:v>849</x:v>
      </x:c>
      <x:c r="I5" s="3" t="s">
        <x:v>1452</x:v>
      </x:c>
      <x:c r="J5" s="3" t="s">
        <x:v>1434</x:v>
      </x:c>
      <x:c r="K5" s="3" t="s">
        <x:v>1453</x:v>
      </x:c>
      <x:c r="L5" s="19" t="s">
        <x:v>1454</x:v>
      </x:c>
    </x:row>
    <x:row r="6" ht="166.35000610351562" customHeight="1">
      <x:c r="A6" s="20" t="s">
        <x:v>178</x:v>
      </x:c>
      <x:c r="B6" s="22" t="s">
        <x:v>1455</x:v>
      </x:c>
      <x:c r="C6" s="1" t="s">
        <x:v>1456</x:v>
      </x:c>
      <x:c r="D6" s="1" t="s">
        <x:v>1457</x:v>
      </x:c>
      <x:c r="E6" s="1">
        <x:v>5285325</x:v>
      </x:c>
      <x:c r="F6" s="1">
        <x:v>5286125</x:v>
      </x:c>
      <x:c r="G6" s="1" t="s">
        <x:v>1458</x:v>
      </x:c>
      <x:c r="H6" s="1">
        <x:f t="shared" si="0"/>
        <x:v>801</x:v>
      </x:c>
      <x:c r="I6" s="1" t="s">
        <x:v>1459</x:v>
      </x:c>
      <x:c r="J6" s="1" t="s">
        <x:v>1434</x:v>
      </x:c>
      <x:c r="K6" s="1"/>
      <x:c r="L6" s="18" t="s">
        <x:v>1460</x:v>
      </x:c>
    </x:row>
    <x:row r="7" ht="192.85000610351562" customHeight="1">
      <x:c r="A7" s="21" t="s">
        <x:v>192</x:v>
      </x:c>
      <x:c r="B7" s="23" t="s">
        <x:v>1461</x:v>
      </x:c>
      <x:c r="C7" s="3" t="s">
        <x:v>1462</x:v>
      </x:c>
      <x:c r="D7" s="3" t="s">
        <x:v>1463</x:v>
      </x:c>
      <x:c r="E7" s="3">
        <x:v>26975</x:v>
      </x:c>
      <x:c r="F7" s="3">
        <x:v>27895</x:v>
      </x:c>
      <x:c r="G7" s="3" t="s">
        <x:v>1432</x:v>
      </x:c>
      <x:c r="H7" s="3">
        <x:f t="shared" si="0"/>
        <x:v>921</x:v>
      </x:c>
      <x:c r="I7" s="3" t="s">
        <x:v>1464</x:v>
      </x:c>
      <x:c r="J7" s="3" t="s">
        <x:v>1434</x:v>
      </x:c>
      <x:c r="K7" s="3"/>
      <x:c r="L7" s="19" t="s">
        <x:v>1465</x:v>
      </x:c>
    </x:row>
    <x:row r="8" ht="33.29999923706055" customHeight="1">
      <x:c r="A8" s="20" t="s">
        <x:v>208</x:v>
      </x:c>
      <x:c r="B8" s="22" t="s">
        <x:v>1466</x:v>
      </x:c>
      <x:c r="C8" s="1"/>
      <x:c r="D8" s="1"/>
      <x:c r="E8" s="1"/>
      <x:c r="F8" s="1"/>
      <x:c r="G8" s="1"/>
      <x:c r="H8" s="1">
        <x:v>0</x:v>
      </x:c>
      <x:c r="I8" s="1"/>
      <x:c r="J8" s="1"/>
      <x:c r="K8" s="1"/>
      <x:c r="L8" s="18"/>
    </x:row>
    <x:row r="9" ht="166.35000610351562" customHeight="1">
      <x:c r="A9" s="21" t="s">
        <x:v>223</x:v>
      </x:c>
      <x:c r="B9" s="23" t="s">
        <x:v>1467</x:v>
      </x:c>
      <x:c r="C9" s="3" t="s">
        <x:v>1468</x:v>
      </x:c>
      <x:c r="D9" s="3" t="s">
        <x:v>1469</x:v>
      </x:c>
      <x:c r="E9" s="3">
        <x:v>23313</x:v>
      </x:c>
      <x:c r="F9" s="3">
        <x:v>24113</x:v>
      </x:c>
      <x:c r="G9" s="3" t="s">
        <x:v>1458</x:v>
      </x:c>
      <x:c r="H9" s="3" t="n">
        <x:f t="shared" ref="H9:H21" si="1">F9-E9+1</x:f>
        <x:v>801</x:v>
      </x:c>
      <x:c r="I9" s="3" t="s">
        <x:v>1470</x:v>
      </x:c>
      <x:c r="J9" s="3" t="s">
        <x:v>1434</x:v>
      </x:c>
      <x:c r="K9" s="3"/>
      <x:c r="L9" s="19" t="s">
        <x:v>1471</x:v>
      </x:c>
    </x:row>
    <x:row r="10" ht="166.35000610351562" customHeight="1">
      <x:c r="A10" s="20" t="s">
        <x:v>237</x:v>
      </x:c>
      <x:c r="B10" s="22" t="s">
        <x:v>1472</x:v>
      </x:c>
      <x:c r="C10" s="1" t="s">
        <x:v>1473</x:v>
      </x:c>
      <x:c r="D10" s="1" t="s">
        <x:v>1474</x:v>
      </x:c>
      <x:c r="E10" s="1">
        <x:v>1107336</x:v>
      </x:c>
      <x:c r="F10" s="1">
        <x:v>1108130</x:v>
      </x:c>
      <x:c r="G10" s="1" t="s">
        <x:v>1432</x:v>
      </x:c>
      <x:c r="H10" s="1">
        <x:f t="shared" si="1"/>
        <x:v>795</x:v>
      </x:c>
      <x:c r="I10" s="1" t="s">
        <x:v>1475</x:v>
      </x:c>
      <x:c r="J10" s="1" t="s">
        <x:v>1434</x:v>
      </x:c>
      <x:c r="K10" s="1"/>
      <x:c r="L10" s="18" t="s">
        <x:v>1476</x:v>
      </x:c>
    </x:row>
    <x:row r="11" ht="179.64999389648438" customHeight="1">
      <x:c r="A11" s="21" t="s">
        <x:v>252</x:v>
      </x:c>
      <x:c r="B11" s="23" t="s">
        <x:v>1477</x:v>
      </x:c>
      <x:c r="C11" s="3" t="s">
        <x:v>1478</x:v>
      </x:c>
      <x:c r="D11" s="3" t="s">
        <x:v>1479</x:v>
      </x:c>
      <x:c r="E11" s="3">
        <x:v>73938</x:v>
      </x:c>
      <x:c r="F11" s="3">
        <x:v>74774</x:v>
      </x:c>
      <x:c r="G11" s="3" t="s">
        <x:v>1458</x:v>
      </x:c>
      <x:c r="H11" s="3">
        <x:f t="shared" si="1"/>
        <x:v>837</x:v>
      </x:c>
      <x:c r="I11" s="3" t="s">
        <x:v>1480</x:v>
      </x:c>
      <x:c r="J11" s="3" t="s">
        <x:v>1434</x:v>
      </x:c>
      <x:c r="K11" s="3"/>
      <x:c r="L11" s="19" t="s">
        <x:v>1481</x:v>
      </x:c>
    </x:row>
    <x:row r="12" ht="166.35000610351562" customHeight="1">
      <x:c r="A12" s="20" t="s">
        <x:v>267</x:v>
      </x:c>
      <x:c r="B12" s="22" t="s">
        <x:v>1482</x:v>
      </x:c>
      <x:c r="C12" s="1" t="s">
        <x:v>1483</x:v>
      </x:c>
      <x:c r="D12" s="1" t="s">
        <x:v>1484</x:v>
      </x:c>
      <x:c r="E12" s="1">
        <x:v>5897635</x:v>
      </x:c>
      <x:c r="F12" s="1">
        <x:v>5898432</x:v>
      </x:c>
      <x:c r="G12" s="1" t="s">
        <x:v>1458</x:v>
      </x:c>
      <x:c r="H12" s="1">
        <x:f t="shared" si="1"/>
        <x:v>798</x:v>
      </x:c>
      <x:c r="I12" s="1" t="s">
        <x:v>1485</x:v>
      </x:c>
      <x:c r="J12" s="1" t="s">
        <x:v>1434</x:v>
      </x:c>
      <x:c r="K12" s="1"/>
      <x:c r="L12" s="18" t="s">
        <x:v>1486</x:v>
      </x:c>
    </x:row>
    <x:row r="13" ht="179.64999389648438" customHeight="1">
      <x:c r="A13" s="21" t="s">
        <x:v>281</x:v>
      </x:c>
      <x:c r="B13" s="23" t="s">
        <x:v>1487</x:v>
      </x:c>
      <x:c r="C13" s="3" t="s">
        <x:v>1488</x:v>
      </x:c>
      <x:c r="D13" s="3" t="s">
        <x:v>1489</x:v>
      </x:c>
      <x:c r="E13" s="3">
        <x:v>304005</x:v>
      </x:c>
      <x:c r="F13" s="3">
        <x:v>304853</x:v>
      </x:c>
      <x:c r="G13" s="3" t="s">
        <x:v>1432</x:v>
      </x:c>
      <x:c r="H13" s="3">
        <x:f t="shared" si="1"/>
        <x:v>849</x:v>
      </x:c>
      <x:c r="I13" s="3" t="s">
        <x:v>1490</x:v>
      </x:c>
      <x:c r="J13" s="3" t="s">
        <x:v>1434</x:v>
      </x:c>
      <x:c r="K13" s="3"/>
      <x:c r="L13" s="19" t="s">
        <x:v>1491</x:v>
      </x:c>
    </x:row>
    <x:row r="14" ht="166.35000610351562" customHeight="1">
      <x:c r="A14" s="20" t="s">
        <x:v>294</x:v>
      </x:c>
      <x:c r="B14" s="22" t="s">
        <x:v>1492</x:v>
      </x:c>
      <x:c r="C14" s="1" t="s">
        <x:v>1493</x:v>
      </x:c>
      <x:c r="D14" s="1" t="s">
        <x:v>1494</x:v>
      </x:c>
      <x:c r="E14" s="1">
        <x:v>66801</x:v>
      </x:c>
      <x:c r="F14" s="1">
        <x:v>67598</x:v>
      </x:c>
      <x:c r="G14" s="1" t="s">
        <x:v>1458</x:v>
      </x:c>
      <x:c r="H14" s="1">
        <x:f t="shared" si="1"/>
        <x:v>798</x:v>
      </x:c>
      <x:c r="I14" s="1" t="s">
        <x:v>1495</x:v>
      </x:c>
      <x:c r="J14" s="1" t="s">
        <x:v>1434</x:v>
      </x:c>
      <x:c r="K14" s="1"/>
      <x:c r="L14" s="18" t="s">
        <x:v>1496</x:v>
      </x:c>
    </x:row>
    <x:row r="15" ht="166.35000610351562" customHeight="1">
      <x:c r="A15" s="21" t="s">
        <x:v>307</x:v>
      </x:c>
      <x:c r="B15" s="23" t="s">
        <x:v>1497</x:v>
      </x:c>
      <x:c r="C15" s="3" t="s">
        <x:v>1498</x:v>
      </x:c>
      <x:c r="D15" s="3" t="s">
        <x:v>1499</x:v>
      </x:c>
      <x:c r="E15" s="3">
        <x:v>6806</x:v>
      </x:c>
      <x:c r="F15" s="3">
        <x:v>7612</x:v>
      </x:c>
      <x:c r="G15" s="3" t="s">
        <x:v>1432</x:v>
      </x:c>
      <x:c r="H15" s="3">
        <x:f t="shared" si="1"/>
        <x:v>807</x:v>
      </x:c>
      <x:c r="I15" s="3" t="s">
        <x:v>1500</x:v>
      </x:c>
      <x:c r="J15" s="3" t="s">
        <x:v>1434</x:v>
      </x:c>
      <x:c r="K15" s="3"/>
      <x:c r="L15" s="19" t="s">
        <x:v>1501</x:v>
      </x:c>
    </x:row>
    <x:row r="16" ht="166.35000610351562" customHeight="1">
      <x:c r="A16" s="20" t="s">
        <x:v>321</x:v>
      </x:c>
      <x:c r="B16" s="22" t="s">
        <x:v>1502</x:v>
      </x:c>
      <x:c r="C16" s="1" t="s">
        <x:v>1503</x:v>
      </x:c>
      <x:c r="D16" s="1" t="s">
        <x:v>1504</x:v>
      </x:c>
      <x:c r="E16" s="1">
        <x:v>138776</x:v>
      </x:c>
      <x:c r="F16" s="1">
        <x:v>139573</x:v>
      </x:c>
      <x:c r="G16" s="1" t="s">
        <x:v>1458</x:v>
      </x:c>
      <x:c r="H16" s="1">
        <x:f t="shared" si="1"/>
        <x:v>798</x:v>
      </x:c>
      <x:c r="I16" s="1" t="s">
        <x:v>1505</x:v>
      </x:c>
      <x:c r="J16" s="1" t="s">
        <x:v>1434</x:v>
      </x:c>
      <x:c r="K16" s="1"/>
      <x:c r="L16" s="18" t="s">
        <x:v>1506</x:v>
      </x:c>
    </x:row>
    <x:row r="17" ht="166.35000610351562" customHeight="1">
      <x:c r="A17" s="21" t="s">
        <x:v>331</x:v>
      </x:c>
      <x:c r="B17" s="23" t="s">
        <x:v>1507</x:v>
      </x:c>
      <x:c r="C17" s="3" t="s">
        <x:v>1438</x:v>
      </x:c>
      <x:c r="D17" s="3" t="s">
        <x:v>1508</x:v>
      </x:c>
      <x:c r="E17" s="3">
        <x:v>137480</x:v>
      </x:c>
      <x:c r="F17" s="3">
        <x:v>138277</x:v>
      </x:c>
      <x:c r="G17" s="3" t="s">
        <x:v>1458</x:v>
      </x:c>
      <x:c r="H17" s="3">
        <x:f t="shared" si="1"/>
        <x:v>798</x:v>
      </x:c>
      <x:c r="I17" s="3" t="s">
        <x:v>1509</x:v>
      </x:c>
      <x:c r="J17" s="3" t="s">
        <x:v>1434</x:v>
      </x:c>
      <x:c r="K17" s="3"/>
      <x:c r="L17" s="19" t="s">
        <x:v>1510</x:v>
      </x:c>
    </x:row>
    <x:row r="18" ht="166.35000610351562" customHeight="1">
      <x:c r="A18" s="20" t="s">
        <x:v>338</x:v>
      </x:c>
      <x:c r="B18" s="22" t="s">
        <x:v>1511</x:v>
      </x:c>
      <x:c r="C18" s="1" t="s">
        <x:v>1512</x:v>
      </x:c>
      <x:c r="D18" s="1" t="s">
        <x:v>1513</x:v>
      </x:c>
      <x:c r="E18" s="1">
        <x:v>6469849</x:v>
      </x:c>
      <x:c r="F18" s="1">
        <x:v>6470643</x:v>
      </x:c>
      <x:c r="G18" s="1" t="s">
        <x:v>1432</x:v>
      </x:c>
      <x:c r="H18" s="1">
        <x:f t="shared" si="1"/>
        <x:v>795</x:v>
      </x:c>
      <x:c r="I18" s="1" t="s">
        <x:v>1514</x:v>
      </x:c>
      <x:c r="J18" s="1" t="s">
        <x:v>1434</x:v>
      </x:c>
      <x:c r="K18" s="1"/>
      <x:c r="L18" s="18" t="s">
        <x:v>1515</x:v>
      </x:c>
    </x:row>
    <x:row r="19" ht="192.85000610351562" customHeight="1">
      <x:c r="A19" s="21" t="s">
        <x:v>349</x:v>
      </x:c>
      <x:c r="B19" s="23" t="s">
        <x:v>1516</x:v>
      </x:c>
      <x:c r="C19" s="3" t="s">
        <x:v>1517</x:v>
      </x:c>
      <x:c r="D19" s="3" t="s">
        <x:v>1518</x:v>
      </x:c>
      <x:c r="E19" s="3">
        <x:v>2349935</x:v>
      </x:c>
      <x:c r="F19" s="3">
        <x:v>2350858</x:v>
      </x:c>
      <x:c r="G19" s="3" t="s">
        <x:v>1432</x:v>
      </x:c>
      <x:c r="H19" s="3">
        <x:f t="shared" si="1"/>
        <x:v>924</x:v>
      </x:c>
      <x:c r="I19" s="3" t="s">
        <x:v>1519</x:v>
      </x:c>
      <x:c r="J19" s="3" t="s">
        <x:v>1434</x:v>
      </x:c>
      <x:c r="K19" s="3"/>
      <x:c r="L19" s="19" t="s">
        <x:v>1520</x:v>
      </x:c>
    </x:row>
    <x:row r="20" ht="206.1999969482422" customHeight="1">
      <x:c r="A20" s="20" t="s">
        <x:v>360</x:v>
      </x:c>
      <x:c r="B20" s="22" t="s">
        <x:v>1521</x:v>
      </x:c>
      <x:c r="C20" s="1" t="s">
        <x:v>1522</x:v>
      </x:c>
      <x:c r="D20" s="1" t="s">
        <x:v>1523</x:v>
      </x:c>
      <x:c r="E20" s="1">
        <x:v>998972</x:v>
      </x:c>
      <x:c r="F20" s="1">
        <x:v>999895</x:v>
      </x:c>
      <x:c r="G20" s="1" t="s">
        <x:v>1458</x:v>
      </x:c>
      <x:c r="H20" s="1">
        <x:f t="shared" si="1"/>
        <x:v>924</x:v>
      </x:c>
      <x:c r="I20" s="1" t="s">
        <x:v>1524</x:v>
      </x:c>
      <x:c r="J20" s="1" t="s">
        <x:v>1434</x:v>
      </x:c>
      <x:c r="K20" s="1"/>
      <x:c r="L20" s="18" t="s">
        <x:v>1525</x:v>
      </x:c>
    </x:row>
    <x:row r="21" ht="179.64999389648438" customHeight="1">
      <x:c r="A21" s="21" t="s">
        <x:v>370</x:v>
      </x:c>
      <x:c r="B21" s="23" t="s">
        <x:v>1526</x:v>
      </x:c>
      <x:c r="C21" s="3" t="s">
        <x:v>1527</x:v>
      </x:c>
      <x:c r="D21" s="3" t="s">
        <x:v>1528</x:v>
      </x:c>
      <x:c r="E21" s="3">
        <x:v>1159249</x:v>
      </x:c>
      <x:c r="F21" s="3">
        <x:v>1160091</x:v>
      </x:c>
      <x:c r="G21" s="3" t="s">
        <x:v>1458</x:v>
      </x:c>
      <x:c r="H21" s="3">
        <x:f t="shared" si="1"/>
        <x:v>843</x:v>
      </x:c>
      <x:c r="I21" s="3" t="s">
        <x:v>1529</x:v>
      </x:c>
      <x:c r="J21" s="3" t="s">
        <x:v>1434</x:v>
      </x:c>
      <x:c r="K21" s="3"/>
      <x:c r="L21" s="19" t="s">
        <x:v>1530</x:v>
      </x:c>
    </x:row>
    <x:row r="22" ht="192.85000610351562" customHeight="1">
      <x:c r="A22" s="20" t="s">
        <x:v>384</x:v>
      </x:c>
      <x:c r="B22" s="22" t="s">
        <x:v>1531</x:v>
      </x:c>
      <x:c r="C22" s="1" t="s">
        <x:v>1532</x:v>
      </x:c>
      <x:c r="D22" s="1" t="s">
        <x:v>1533</x:v>
      </x:c>
      <x:c r="E22" s="1"/>
      <x:c r="F22" s="1"/>
      <x:c r="G22" s="1"/>
      <x:c r="H22" s="1">
        <x:v>0</x:v>
      </x:c>
      <x:c r="I22" s="1" t="s">
        <x:v>1534</x:v>
      </x:c>
      <x:c r="J22" s="1" t="s">
        <x:v>1535</x:v>
      </x:c>
      <x:c r="K22" s="1" t="s">
        <x:v>1536</x:v>
      </x:c>
      <x:c r="L22" s="18" t="s">
        <x:v>1537</x:v>
      </x:c>
    </x:row>
    <x:row r="23" ht="166.35000610351562" customHeight="1">
      <x:c r="A23" s="21" t="s">
        <x:v>392</x:v>
      </x:c>
      <x:c r="B23" s="23" t="s">
        <x:v>1538</x:v>
      </x:c>
      <x:c r="C23" s="3" t="s">
        <x:v>1539</x:v>
      </x:c>
      <x:c r="D23" s="3" t="s">
        <x:v>1518</x:v>
      </x:c>
      <x:c r="E23" s="3">
        <x:v>653470</x:v>
      </x:c>
      <x:c r="F23" s="3">
        <x:v>654267</x:v>
      </x:c>
      <x:c r="G23" s="3" t="s">
        <x:v>1432</x:v>
      </x:c>
      <x:c r="H23" s="3" t="n">
        <x:f t="shared" ref="H23:H29" si="2">F23-E23+1</x:f>
        <x:v>798</x:v>
      </x:c>
      <x:c r="I23" s="3" t="s">
        <x:v>1540</x:v>
      </x:c>
      <x:c r="J23" s="3" t="s">
        <x:v>1434</x:v>
      </x:c>
      <x:c r="K23" s="3"/>
      <x:c r="L23" s="19" t="s">
        <x:v>1541</x:v>
      </x:c>
    </x:row>
    <x:row r="24" ht="179.64999389648438" customHeight="1">
      <x:c r="A24" s="20" t="s">
        <x:v>401</x:v>
      </x:c>
      <x:c r="B24" s="22" t="s">
        <x:v>1542</x:v>
      </x:c>
      <x:c r="C24" s="1" t="s">
        <x:v>1543</x:v>
      </x:c>
      <x:c r="D24" s="1" t="s">
        <x:v>1544</x:v>
      </x:c>
      <x:c r="E24" s="1">
        <x:v>197821</x:v>
      </x:c>
      <x:c r="F24" s="1">
        <x:v>198681</x:v>
      </x:c>
      <x:c r="G24" s="1" t="s">
        <x:v>1432</x:v>
      </x:c>
      <x:c r="H24" s="1">
        <x:f t="shared" si="2"/>
        <x:v>861</x:v>
      </x:c>
      <x:c r="I24" s="1" t="s">
        <x:v>1545</x:v>
      </x:c>
      <x:c r="J24" s="1" t="s">
        <x:v>1434</x:v>
      </x:c>
      <x:c r="K24" s="1"/>
      <x:c r="L24" s="18" t="s">
        <x:v>1546</x:v>
      </x:c>
    </x:row>
    <x:row r="25" ht="179.64999389648438" customHeight="1">
      <x:c r="A25" s="21" t="s">
        <x:v>412</x:v>
      </x:c>
      <x:c r="B25" s="23" t="s">
        <x:v>1547</x:v>
      </x:c>
      <x:c r="C25" s="3" t="s">
        <x:v>1548</x:v>
      </x:c>
      <x:c r="D25" s="3" t="s">
        <x:v>1549</x:v>
      </x:c>
      <x:c r="E25" s="3">
        <x:v>1189</x:v>
      </x:c>
      <x:c r="F25" s="3">
        <x:v>2046</x:v>
      </x:c>
      <x:c r="G25" s="3" t="s">
        <x:v>1458</x:v>
      </x:c>
      <x:c r="H25" s="3">
        <x:f t="shared" si="2"/>
        <x:v>858</x:v>
      </x:c>
      <x:c r="I25" s="3" t="s">
        <x:v>1550</x:v>
      </x:c>
      <x:c r="J25" s="3" t="s">
        <x:v>1434</x:v>
      </x:c>
      <x:c r="K25" s="3"/>
      <x:c r="L25" s="19" t="s">
        <x:v>1551</x:v>
      </x:c>
    </x:row>
    <x:row r="26" ht="179.64999389648438" customHeight="1">
      <x:c r="A26" s="20" t="s">
        <x:v>421</x:v>
      </x:c>
      <x:c r="B26" s="22" t="s">
        <x:v>1552</x:v>
      </x:c>
      <x:c r="C26" s="1" t="s">
        <x:v>1553</x:v>
      </x:c>
      <x:c r="D26" s="1" t="s">
        <x:v>1554</x:v>
      </x:c>
      <x:c r="E26" s="1">
        <x:v>18492</x:v>
      </x:c>
      <x:c r="F26" s="1">
        <x:v>19349</x:v>
      </x:c>
      <x:c r="G26" s="1" t="s">
        <x:v>1458</x:v>
      </x:c>
      <x:c r="H26" s="1">
        <x:f t="shared" si="2"/>
        <x:v>858</x:v>
      </x:c>
      <x:c r="I26" s="1" t="s">
        <x:v>1555</x:v>
      </x:c>
      <x:c r="J26" s="1" t="s">
        <x:v>1434</x:v>
      </x:c>
      <x:c r="K26" s="1"/>
      <x:c r="L26" s="18" t="s">
        <x:v>1556</x:v>
      </x:c>
    </x:row>
    <x:row r="27" ht="179.64999389648438" customHeight="1">
      <x:c r="A27" s="21" t="s">
        <x:v>430</x:v>
      </x:c>
      <x:c r="B27" s="23" t="s">
        <x:v>1557</x:v>
      </x:c>
      <x:c r="C27" s="3" t="s">
        <x:v>1558</x:v>
      </x:c>
      <x:c r="D27" s="3" t="s">
        <x:v>1559</x:v>
      </x:c>
      <x:c r="E27" s="3">
        <x:v>28955</x:v>
      </x:c>
      <x:c r="F27" s="3">
        <x:v>29830</x:v>
      </x:c>
      <x:c r="G27" s="3" t="s">
        <x:v>1458</x:v>
      </x:c>
      <x:c r="H27" s="3">
        <x:f t="shared" si="2"/>
        <x:v>876</x:v>
      </x:c>
      <x:c r="I27" s="3" t="s">
        <x:v>1560</x:v>
      </x:c>
      <x:c r="J27" s="3" t="s">
        <x:v>1434</x:v>
      </x:c>
      <x:c r="K27" s="3"/>
      <x:c r="L27" s="19" t="s">
        <x:v>1561</x:v>
      </x:c>
    </x:row>
    <x:row r="28" ht="179.64999389648438" customHeight="1">
      <x:c r="A28" s="20" t="s">
        <x:v>440</x:v>
      </x:c>
      <x:c r="B28" s="22" t="s">
        <x:v>1562</x:v>
      </x:c>
      <x:c r="C28" s="1" t="s">
        <x:v>1563</x:v>
      </x:c>
      <x:c r="D28" s="1" t="s">
        <x:v>1564</x:v>
      </x:c>
      <x:c r="E28" s="1">
        <x:v>29299</x:v>
      </x:c>
      <x:c r="F28" s="1">
        <x:v>30153</x:v>
      </x:c>
      <x:c r="G28" s="1" t="s">
        <x:v>1432</x:v>
      </x:c>
      <x:c r="H28" s="1">
        <x:f t="shared" si="2"/>
        <x:v>855</x:v>
      </x:c>
      <x:c r="I28" s="1" t="s">
        <x:v>1565</x:v>
      </x:c>
      <x:c r="J28" s="1" t="s">
        <x:v>1434</x:v>
      </x:c>
      <x:c r="K28" s="1"/>
      <x:c r="L28" s="18" t="s">
        <x:v>1566</x:v>
      </x:c>
    </x:row>
    <x:row r="29" ht="179.64999389648438" customHeight="1">
      <x:c r="A29" s="21" t="s">
        <x:v>449</x:v>
      </x:c>
      <x:c r="B29" s="23" t="s">
        <x:v>1567</x:v>
      </x:c>
      <x:c r="C29" s="3" t="s">
        <x:v>1568</x:v>
      </x:c>
      <x:c r="D29" s="3" t="s">
        <x:v>1569</x:v>
      </x:c>
      <x:c r="E29" s="3">
        <x:v>92783</x:v>
      </x:c>
      <x:c r="F29" s="3">
        <x:v>93661</x:v>
      </x:c>
      <x:c r="G29" s="3" t="s">
        <x:v>1432</x:v>
      </x:c>
      <x:c r="H29" s="3">
        <x:f t="shared" si="2"/>
        <x:v>879</x:v>
      </x:c>
      <x:c r="I29" s="3" t="s">
        <x:v>1570</x:v>
      </x:c>
      <x:c r="J29" s="3" t="s">
        <x:v>1434</x:v>
      </x:c>
      <x:c r="K29" s="3"/>
      <x:c r="L29" s="19" t="s">
        <x:v>1571</x:v>
      </x:c>
    </x:row>
    <x:row r="30" ht="46.599998474121094" customHeight="1">
      <x:c r="A30" s="20" t="s">
        <x:v>458</x:v>
      </x:c>
      <x:c r="B30" s="22" t="s">
        <x:v>1572</x:v>
      </x:c>
      <x:c r="C30" s="1"/>
      <x:c r="D30" s="1"/>
      <x:c r="E30" s="1"/>
      <x:c r="F30" s="1"/>
      <x:c r="G30" s="1"/>
      <x:c r="H30" s="1">
        <x:v>0</x:v>
      </x:c>
      <x:c r="I30" s="1"/>
      <x:c r="J30" s="1"/>
      <x:c r="K30" s="1" t="s">
        <x:v>1573</x:v>
      </x:c>
      <x:c r="L30" s="18"/>
    </x:row>
    <x:row r="31" ht="179.64999389648438" customHeight="1">
      <x:c r="A31" s="21" t="s">
        <x:v>469</x:v>
      </x:c>
      <x:c r="B31" s="23" t="s">
        <x:v>1574</x:v>
      </x:c>
      <x:c r="C31" s="3" t="s">
        <x:v>1575</x:v>
      </x:c>
      <x:c r="D31" s="3" t="s">
        <x:v>1576</x:v>
      </x:c>
      <x:c r="E31" s="3">
        <x:v>73818</x:v>
      </x:c>
      <x:c r="F31" s="3">
        <x:v>74696</x:v>
      </x:c>
      <x:c r="G31" s="3" t="s">
        <x:v>1432</x:v>
      </x:c>
      <x:c r="H31" s="3" t="n">
        <x:f>F31-E31+1</x:f>
        <x:v>879</x:v>
      </x:c>
      <x:c r="I31" s="3" t="s">
        <x:v>1577</x:v>
      </x:c>
      <x:c r="J31" s="3" t="s">
        <x:v>1535</x:v>
      </x:c>
      <x:c r="K31" s="3"/>
      <x:c r="L31" s="19" t="s">
        <x:v>1578</x:v>
      </x:c>
    </x:row>
    <x:row r="32" ht="179.64999389648438" customHeight="1">
      <x:c r="A32" s="20" t="s">
        <x:v>478</x:v>
      </x:c>
      <x:c r="B32" s="22" t="s">
        <x:v>1579</x:v>
      </x:c>
      <x:c r="C32" s="1" t="s">
        <x:v>1580</x:v>
      </x:c>
      <x:c r="D32" s="1" t="s">
        <x:v>1581</x:v>
      </x:c>
      <x:c r="E32" s="1">
        <x:v>10864</x:v>
      </x:c>
      <x:c r="F32" s="1">
        <x:v>11718</x:v>
      </x:c>
      <x:c r="G32" s="1" t="s">
        <x:v>1432</x:v>
      </x:c>
      <x:c r="H32" s="1" t="n">
        <x:f>F32-E32+1</x:f>
        <x:v>855</x:v>
      </x:c>
      <x:c r="I32" s="1" t="s">
        <x:v>1582</x:v>
      </x:c>
      <x:c r="J32" s="1" t="s">
        <x:v>1434</x:v>
      </x:c>
      <x:c r="K32" s="1"/>
      <x:c r="L32" s="18" t="s">
        <x:v>1583</x:v>
      </x:c>
    </x:row>
    <x:row r="33" ht="179.64999389648438" customHeight="1">
      <x:c r="A33" s="21" t="s">
        <x:v>487</x:v>
      </x:c>
      <x:c r="B33" s="23" t="s">
        <x:v>1584</x:v>
      </x:c>
      <x:c r="C33" s="3" t="s">
        <x:v>1585</x:v>
      </x:c>
      <x:c r="D33" s="3" t="s">
        <x:v>1586</x:v>
      </x:c>
      <x:c r="E33" s="3">
        <x:v>13748</x:v>
      </x:c>
      <x:c r="F33" s="3">
        <x:v>14629</x:v>
      </x:c>
      <x:c r="G33" s="3" t="s">
        <x:v>1458</x:v>
      </x:c>
      <x:c r="H33" s="3" t="n">
        <x:f>F33-E33+1</x:f>
        <x:v>882</x:v>
      </x:c>
      <x:c r="I33" s="3" t="s">
        <x:v>1587</x:v>
      </x:c>
      <x:c r="J33" s="3" t="s">
        <x:v>1434</x:v>
      </x:c>
      <x:c r="K33" s="3"/>
      <x:c r="L33" s="19" t="s">
        <x:v>1588</x:v>
      </x:c>
    </x:row>
    <x:row r="34" ht="179.64999389648438" customHeight="1">
      <x:c r="A34" s="20" t="s">
        <x:v>496</x:v>
      </x:c>
      <x:c r="B34" s="22" t="s">
        <x:v>1589</x:v>
      </x:c>
      <x:c r="C34" s="1" t="s">
        <x:v>1590</x:v>
      </x:c>
      <x:c r="D34" s="1" t="s">
        <x:v>1591</x:v>
      </x:c>
      <x:c r="E34" s="1">
        <x:v>62087</x:v>
      </x:c>
      <x:c r="F34" s="1">
        <x:v>62938</x:v>
      </x:c>
      <x:c r="G34" s="1" t="s">
        <x:v>1458</x:v>
      </x:c>
      <x:c r="H34" s="1" t="n">
        <x:f>F34-E34+1</x:f>
        <x:v>852</x:v>
      </x:c>
      <x:c r="I34" s="1" t="s">
        <x:v>1592</x:v>
      </x:c>
      <x:c r="J34" s="1" t="s">
        <x:v>1434</x:v>
      </x:c>
      <x:c r="K34" s="1"/>
      <x:c r="L34" s="18" t="s">
        <x:v>1593</x:v>
      </x:c>
    </x:row>
    <x:row r="35" ht="179.64999389648438" customHeight="1">
      <x:c r="A35" s="21" t="s">
        <x:v>505</x:v>
      </x:c>
      <x:c r="B35" s="23" t="s">
        <x:v>1594</x:v>
      </x:c>
      <x:c r="C35" s="3" t="s">
        <x:v>1595</x:v>
      </x:c>
      <x:c r="D35" s="3" t="s">
        <x:v>1596</x:v>
      </x:c>
      <x:c r="E35" s="3">
        <x:v>100221</x:v>
      </x:c>
      <x:c r="F35" s="3">
        <x:v>101072</x:v>
      </x:c>
      <x:c r="G35" s="3" t="s">
        <x:v>1432</x:v>
      </x:c>
      <x:c r="H35" s="3" t="n">
        <x:f>F35-E35+1</x:f>
        <x:v>852</x:v>
      </x:c>
      <x:c r="I35" s="3" t="s">
        <x:v>1597</x:v>
      </x:c>
      <x:c r="J35" s="3" t="s">
        <x:v>1434</x:v>
      </x:c>
      <x:c r="K35" s="3"/>
      <x:c r="L35" s="19" t="s">
        <x:v>1598</x:v>
      </x:c>
    </x:row>
    <x:row r="36" ht="46.599998474121094" customHeight="1">
      <x:c r="A36" s="20" t="s">
        <x:v>514</x:v>
      </x:c>
      <x:c r="B36" s="22" t="s">
        <x:v>1599</x:v>
      </x:c>
      <x:c r="C36" s="1"/>
      <x:c r="D36" s="1"/>
      <x:c r="E36" s="1"/>
      <x:c r="F36" s="1"/>
      <x:c r="G36" s="1"/>
      <x:c r="H36" s="1">
        <x:v>0</x:v>
      </x:c>
      <x:c r="I36" s="1"/>
      <x:c r="J36" s="1"/>
      <x:c r="K36" s="1" t="s">
        <x:v>1600</x:v>
      </x:c>
      <x:c r="L36" s="18"/>
    </x:row>
    <x:row r="37" ht="46.599998474121094" customHeight="1">
      <x:c r="A37" s="21" t="s">
        <x:v>524</x:v>
      </x:c>
      <x:c r="B37" s="23" t="s">
        <x:v>1601</x:v>
      </x:c>
      <x:c r="C37" s="3"/>
      <x:c r="D37" s="3"/>
      <x:c r="E37" s="3"/>
      <x:c r="F37" s="3"/>
      <x:c r="G37" s="3"/>
      <x:c r="H37" s="3">
        <x:v>0</x:v>
      </x:c>
      <x:c r="I37" s="3"/>
      <x:c r="J37" s="3"/>
      <x:c r="K37" s="3" t="s">
        <x:v>1602</x:v>
      </x:c>
      <x:c r="L37" s="19"/>
    </x:row>
    <x:row r="38" ht="179.64999389648438" customHeight="1">
      <x:c r="A38" s="20" t="s">
        <x:v>535</x:v>
      </x:c>
      <x:c r="B38" s="22" t="s">
        <x:v>1603</x:v>
      </x:c>
      <x:c r="C38" s="1" t="s">
        <x:v>1604</x:v>
      </x:c>
      <x:c r="D38" s="1" t="s">
        <x:v>1605</x:v>
      </x:c>
      <x:c r="E38" s="1">
        <x:v>2732168</x:v>
      </x:c>
      <x:c r="F38" s="1">
        <x:v>2733055</x:v>
      </x:c>
      <x:c r="G38" s="1" t="s">
        <x:v>1458</x:v>
      </x:c>
      <x:c r="H38" s="1" t="n">
        <x:f t="shared" ref="H38:H56" si="3">F38-E38+1</x:f>
        <x:v>888</x:v>
      </x:c>
      <x:c r="I38" s="1" t="s">
        <x:v>1606</x:v>
      </x:c>
      <x:c r="J38" s="1" t="s">
        <x:v>1434</x:v>
      </x:c>
      <x:c r="K38" s="1"/>
      <x:c r="L38" s="18" t="s">
        <x:v>1607</x:v>
      </x:c>
    </x:row>
    <x:row r="39" ht="179.64999389648438" customHeight="1">
      <x:c r="A39" s="21" t="s">
        <x:v>545</x:v>
      </x:c>
      <x:c r="B39" s="23" t="s">
        <x:v>1608</x:v>
      </x:c>
      <x:c r="C39" s="3" t="s">
        <x:v>1609</x:v>
      </x:c>
      <x:c r="D39" s="3" t="s">
        <x:v>1610</x:v>
      </x:c>
      <x:c r="E39" s="3">
        <x:v>1015578</x:v>
      </x:c>
      <x:c r="F39" s="3">
        <x:v>1016432</x:v>
      </x:c>
      <x:c r="G39" s="3" t="s">
        <x:v>1432</x:v>
      </x:c>
      <x:c r="H39" s="3">
        <x:f t="shared" si="3"/>
        <x:v>855</x:v>
      </x:c>
      <x:c r="I39" s="3" t="s">
        <x:v>1611</x:v>
      </x:c>
      <x:c r="J39" s="3" t="s">
        <x:v>1434</x:v>
      </x:c>
      <x:c r="K39" s="3"/>
      <x:c r="L39" s="19" t="s">
        <x:v>1612</x:v>
      </x:c>
    </x:row>
    <x:row r="40" ht="179.64999389648438" customHeight="1">
      <x:c r="A40" s="20" t="s">
        <x:v>554</x:v>
      </x:c>
      <x:c r="B40" s="22" t="s">
        <x:v>1613</x:v>
      </x:c>
      <x:c r="C40" s="1" t="s">
        <x:v>1614</x:v>
      </x:c>
      <x:c r="D40" s="1" t="s">
        <x:v>1615</x:v>
      </x:c>
      <x:c r="E40" s="1">
        <x:v>223638</x:v>
      </x:c>
      <x:c r="F40" s="1">
        <x:v>224519</x:v>
      </x:c>
      <x:c r="G40" s="1" t="s">
        <x:v>1458</x:v>
      </x:c>
      <x:c r="H40" s="1">
        <x:f t="shared" si="3"/>
        <x:v>882</x:v>
      </x:c>
      <x:c r="I40" s="1" t="s">
        <x:v>1616</x:v>
      </x:c>
      <x:c r="J40" s="1" t="s">
        <x:v>1434</x:v>
      </x:c>
      <x:c r="K40" s="1"/>
      <x:c r="L40" s="18" t="s">
        <x:v>1617</x:v>
      </x:c>
    </x:row>
    <x:row r="41" ht="179.64999389648438" customHeight="1">
      <x:c r="A41" s="21" t="s">
        <x:v>563</x:v>
      </x:c>
      <x:c r="B41" s="23" t="s">
        <x:v>1618</x:v>
      </x:c>
      <x:c r="C41" s="3" t="s">
        <x:v>1619</x:v>
      </x:c>
      <x:c r="D41" s="3" t="s">
        <x:v>1620</x:v>
      </x:c>
      <x:c r="E41" s="3">
        <x:v>106982</x:v>
      </x:c>
      <x:c r="F41" s="3">
        <x:v>107854</x:v>
      </x:c>
      <x:c r="G41" s="3" t="s">
        <x:v>1432</x:v>
      </x:c>
      <x:c r="H41" s="3">
        <x:f t="shared" si="3"/>
        <x:v>873</x:v>
      </x:c>
      <x:c r="I41" s="3" t="s">
        <x:v>1621</x:v>
      </x:c>
      <x:c r="J41" s="3" t="s">
        <x:v>1434</x:v>
      </x:c>
      <x:c r="K41" s="3"/>
      <x:c r="L41" s="19" t="s">
        <x:v>1622</x:v>
      </x:c>
    </x:row>
    <x:row r="42" ht="179.64999389648438" customHeight="1">
      <x:c r="A42" s="20" t="s">
        <x:v>572</x:v>
      </x:c>
      <x:c r="B42" s="22" t="s">
        <x:v>1623</x:v>
      </x:c>
      <x:c r="C42" s="1" t="s">
        <x:v>1624</x:v>
      </x:c>
      <x:c r="D42" s="1" t="s">
        <x:v>1625</x:v>
      </x:c>
      <x:c r="E42" s="1">
        <x:v>5600</x:v>
      </x:c>
      <x:c r="F42" s="1">
        <x:v>6463</x:v>
      </x:c>
      <x:c r="G42" s="1" t="s">
        <x:v>1458</x:v>
      </x:c>
      <x:c r="H42" s="1">
        <x:f t="shared" si="3"/>
        <x:v>864</x:v>
      </x:c>
      <x:c r="I42" s="1" t="s">
        <x:v>1626</x:v>
      </x:c>
      <x:c r="J42" s="1" t="s">
        <x:v>1434</x:v>
      </x:c>
      <x:c r="K42" s="1"/>
      <x:c r="L42" s="18" t="s">
        <x:v>1627</x:v>
      </x:c>
    </x:row>
    <x:row r="43" ht="179.64999389648438" customHeight="1">
      <x:c r="A43" s="21" t="s">
        <x:v>581</x:v>
      </x:c>
      <x:c r="B43" s="23" t="s">
        <x:v>1628</x:v>
      </x:c>
      <x:c r="C43" s="3" t="s">
        <x:v>1629</x:v>
      </x:c>
      <x:c r="D43" s="3" t="s">
        <x:v>1630</x:v>
      </x:c>
      <x:c r="E43" s="3">
        <x:v>1109216</x:v>
      </x:c>
      <x:c r="F43" s="3">
        <x:v>1110067</x:v>
      </x:c>
      <x:c r="G43" s="3" t="s">
        <x:v>1458</x:v>
      </x:c>
      <x:c r="H43" s="3">
        <x:f t="shared" si="3"/>
        <x:v>852</x:v>
      </x:c>
      <x:c r="I43" s="3" t="s">
        <x:v>1631</x:v>
      </x:c>
      <x:c r="J43" s="3" t="s">
        <x:v>1434</x:v>
      </x:c>
      <x:c r="K43" s="3"/>
      <x:c r="L43" s="19" t="s">
        <x:v>1632</x:v>
      </x:c>
    </x:row>
    <x:row r="44" ht="179.64999389648438" customHeight="1">
      <x:c r="A44" s="20" t="s">
        <x:v>590</x:v>
      </x:c>
      <x:c r="B44" s="22" t="s">
        <x:v>1633</x:v>
      </x:c>
      <x:c r="C44" s="1" t="s">
        <x:v>1634</x:v>
      </x:c>
      <x:c r="D44" s="1" t="s">
        <x:v>1635</x:v>
      </x:c>
      <x:c r="E44" s="1">
        <x:v>7333985</x:v>
      </x:c>
      <x:c r="F44" s="1">
        <x:v>7334842</x:v>
      </x:c>
      <x:c r="G44" s="1" t="s">
        <x:v>1458</x:v>
      </x:c>
      <x:c r="H44" s="1">
        <x:f t="shared" si="3"/>
        <x:v>858</x:v>
      </x:c>
      <x:c r="I44" s="1" t="s">
        <x:v>1636</x:v>
      </x:c>
      <x:c r="J44" s="1" t="s">
        <x:v>1434</x:v>
      </x:c>
      <x:c r="K44" s="1"/>
      <x:c r="L44" s="18" t="s">
        <x:v>1637</x:v>
      </x:c>
    </x:row>
    <x:row r="45" ht="179.64999389648438" customHeight="1">
      <x:c r="A45" s="21" t="s">
        <x:v>599</x:v>
      </x:c>
      <x:c r="B45" s="23" t="s">
        <x:v>1638</x:v>
      </x:c>
      <x:c r="C45" s="3" t="s">
        <x:v>1639</x:v>
      </x:c>
      <x:c r="D45" s="3" t="s">
        <x:v>1640</x:v>
      </x:c>
      <x:c r="E45" s="3">
        <x:v>177999</x:v>
      </x:c>
      <x:c r="F45" s="3">
        <x:v>178862</x:v>
      </x:c>
      <x:c r="G45" s="3" t="s">
        <x:v>1458</x:v>
      </x:c>
      <x:c r="H45" s="3">
        <x:f t="shared" si="3"/>
        <x:v>864</x:v>
      </x:c>
      <x:c r="I45" s="3" t="s">
        <x:v>1641</x:v>
      </x:c>
      <x:c r="J45" s="3" t="s">
        <x:v>1434</x:v>
      </x:c>
      <x:c r="K45" s="3"/>
      <x:c r="L45" s="19" t="s">
        <x:v>1642</x:v>
      </x:c>
    </x:row>
    <x:row r="46" ht="179.64999389648438" customHeight="1">
      <x:c r="A46" s="20" t="s">
        <x:v>608</x:v>
      </x:c>
      <x:c r="B46" s="22" t="s">
        <x:v>1643</x:v>
      </x:c>
      <x:c r="C46" s="1" t="s">
        <x:v>1644</x:v>
      </x:c>
      <x:c r="D46" s="1" t="s">
        <x:v>1645</x:v>
      </x:c>
      <x:c r="E46" s="1">
        <x:v>152242</x:v>
      </x:c>
      <x:c r="F46" s="1">
        <x:v>153099</x:v>
      </x:c>
      <x:c r="G46" s="1" t="s">
        <x:v>1458</x:v>
      </x:c>
      <x:c r="H46" s="1">
        <x:f t="shared" si="3"/>
        <x:v>858</x:v>
      </x:c>
      <x:c r="I46" s="1" t="s">
        <x:v>1646</x:v>
      </x:c>
      <x:c r="J46" s="1" t="s">
        <x:v>1434</x:v>
      </x:c>
      <x:c r="K46" s="1"/>
      <x:c r="L46" s="18" t="s">
        <x:v>1647</x:v>
      </x:c>
    </x:row>
    <x:row r="47" ht="179.64999389648438" customHeight="1">
      <x:c r="A47" s="21" t="s">
        <x:v>617</x:v>
      </x:c>
      <x:c r="B47" s="23" t="s">
        <x:v>1648</x:v>
      </x:c>
      <x:c r="C47" s="3" t="s">
        <x:v>1649</x:v>
      </x:c>
      <x:c r="D47" s="3" t="s">
        <x:v>1650</x:v>
      </x:c>
      <x:c r="E47" s="3">
        <x:v>138203</x:v>
      </x:c>
      <x:c r="F47" s="3">
        <x:v>139072</x:v>
      </x:c>
      <x:c r="G47" s="3" t="s">
        <x:v>1432</x:v>
      </x:c>
      <x:c r="H47" s="3">
        <x:f t="shared" si="3"/>
        <x:v>870</x:v>
      </x:c>
      <x:c r="I47" s="3" t="s">
        <x:v>1651</x:v>
      </x:c>
      <x:c r="J47" s="3" t="s">
        <x:v>1434</x:v>
      </x:c>
      <x:c r="K47" s="3"/>
      <x:c r="L47" s="19" t="s">
        <x:v>1652</x:v>
      </x:c>
    </x:row>
    <x:row r="48" ht="179.64999389648438" customHeight="1">
      <x:c r="A48" s="20" t="s">
        <x:v>626</x:v>
      </x:c>
      <x:c r="B48" s="22" t="s">
        <x:v>1653</x:v>
      </x:c>
      <x:c r="C48" s="1" t="s">
        <x:v>1654</x:v>
      </x:c>
      <x:c r="D48" s="1" t="s">
        <x:v>1655</x:v>
      </x:c>
      <x:c r="E48" s="1">
        <x:v>42301</x:v>
      </x:c>
      <x:c r="F48" s="1">
        <x:v>43158</x:v>
      </x:c>
      <x:c r="G48" s="1" t="s">
        <x:v>1458</x:v>
      </x:c>
      <x:c r="H48" s="1">
        <x:f t="shared" si="3"/>
        <x:v>858</x:v>
      </x:c>
      <x:c r="I48" s="1" t="s">
        <x:v>1656</x:v>
      </x:c>
      <x:c r="J48" s="1" t="s">
        <x:v>1434</x:v>
      </x:c>
      <x:c r="K48" s="1"/>
      <x:c r="L48" s="18" t="s">
        <x:v>1657</x:v>
      </x:c>
    </x:row>
    <x:row r="49" ht="192.85000610351562" customHeight="1">
      <x:c r="A49" s="21" t="s">
        <x:v>635</x:v>
      </x:c>
      <x:c r="B49" s="23" t="s">
        <x:v>1658</x:v>
      </x:c>
      <x:c r="C49" s="3" t="s">
        <x:v>1659</x:v>
      </x:c>
      <x:c r="D49" s="3" t="s">
        <x:v>1660</x:v>
      </x:c>
      <x:c r="E49" s="3">
        <x:v>3772456</x:v>
      </x:c>
      <x:c r="F49" s="3">
        <x:v>3773361</x:v>
      </x:c>
      <x:c r="G49" s="3" t="s">
        <x:v>1432</x:v>
      </x:c>
      <x:c r="H49" s="3">
        <x:f t="shared" si="3"/>
        <x:v>906</x:v>
      </x:c>
      <x:c r="I49" s="3" t="s">
        <x:v>1661</x:v>
      </x:c>
      <x:c r="J49" s="3" t="s">
        <x:v>1535</x:v>
      </x:c>
      <x:c r="K49" s="3"/>
      <x:c r="L49" s="19" t="s">
        <x:v>1662</x:v>
      </x:c>
    </x:row>
    <x:row r="50" ht="192.85000610351562" customHeight="1">
      <x:c r="A50" s="20" t="s">
        <x:v>644</x:v>
      </x:c>
      <x:c r="B50" s="22" t="s">
        <x:v>1663</x:v>
      </x:c>
      <x:c r="C50" s="1" t="s">
        <x:v>1664</x:v>
      </x:c>
      <x:c r="D50" s="1" t="s">
        <x:v>1665</x:v>
      </x:c>
      <x:c r="E50" s="1">
        <x:v>1743646</x:v>
      </x:c>
      <x:c r="F50" s="1">
        <x:v>1744575</x:v>
      </x:c>
      <x:c r="G50" s="1" t="s">
        <x:v>1458</x:v>
      </x:c>
      <x:c r="H50" s="1">
        <x:f t="shared" si="3"/>
        <x:v>930</x:v>
      </x:c>
      <x:c r="I50" s="1" t="s">
        <x:v>1666</x:v>
      </x:c>
      <x:c r="J50" s="1" t="s">
        <x:v>1434</x:v>
      </x:c>
      <x:c r="K50" s="1"/>
      <x:c r="L50" s="18" t="s">
        <x:v>1667</x:v>
      </x:c>
    </x:row>
    <x:row r="51" ht="166.35000610351562" customHeight="1">
      <x:c r="A51" s="21" t="s">
        <x:v>653</x:v>
      </x:c>
      <x:c r="B51" s="23" t="s">
        <x:v>1668</x:v>
      </x:c>
      <x:c r="C51" s="3" t="s">
        <x:v>1669</x:v>
      </x:c>
      <x:c r="D51" s="3" t="s">
        <x:v>1670</x:v>
      </x:c>
      <x:c r="E51" s="3">
        <x:v>2980712</x:v>
      </x:c>
      <x:c r="F51" s="3">
        <x:v>2981512</x:v>
      </x:c>
      <x:c r="G51" s="3" t="s">
        <x:v>1458</x:v>
      </x:c>
      <x:c r="H51" s="3">
        <x:f t="shared" si="3"/>
        <x:v>801</x:v>
      </x:c>
      <x:c r="I51" s="3" t="s">
        <x:v>1671</x:v>
      </x:c>
      <x:c r="J51" s="3" t="s">
        <x:v>1434</x:v>
      </x:c>
      <x:c r="K51" s="3"/>
      <x:c r="L51" s="19" t="s">
        <x:v>1672</x:v>
      </x:c>
    </x:row>
    <x:row r="52" ht="166.35000610351562" customHeight="1">
      <x:c r="A52" s="20" t="s">
        <x:v>662</x:v>
      </x:c>
      <x:c r="B52" s="22" t="s">
        <x:v>1673</x:v>
      </x:c>
      <x:c r="C52" s="1" t="s">
        <x:v>1674</x:v>
      </x:c>
      <x:c r="D52" s="1" t="s">
        <x:v>1675</x:v>
      </x:c>
      <x:c r="E52" s="1">
        <x:v>5651357</x:v>
      </x:c>
      <x:c r="F52" s="1">
        <x:v>5652157</x:v>
      </x:c>
      <x:c r="G52" s="1" t="s">
        <x:v>1458</x:v>
      </x:c>
      <x:c r="H52" s="1">
        <x:f t="shared" si="3"/>
        <x:v>801</x:v>
      </x:c>
      <x:c r="I52" s="1" t="s">
        <x:v>1676</x:v>
      </x:c>
      <x:c r="J52" s="1" t="s">
        <x:v>1434</x:v>
      </x:c>
      <x:c r="K52" s="1"/>
      <x:c r="L52" s="18" t="s">
        <x:v>1677</x:v>
      </x:c>
    </x:row>
    <x:row r="53" ht="166.35000610351562" customHeight="1">
      <x:c r="A53" s="21" t="s">
        <x:v>670</x:v>
      </x:c>
      <x:c r="B53" s="23" t="s">
        <x:v>1678</x:v>
      </x:c>
      <x:c r="C53" s="3" t="s">
        <x:v>1679</x:v>
      </x:c>
      <x:c r="D53" s="3" t="s">
        <x:v>1680</x:v>
      </x:c>
      <x:c r="E53" s="3">
        <x:v>5528988</x:v>
      </x:c>
      <x:c r="F53" s="3">
        <x:v>5529785</x:v>
      </x:c>
      <x:c r="G53" s="3" t="s">
        <x:v>1458</x:v>
      </x:c>
      <x:c r="H53" s="3">
        <x:f t="shared" si="3"/>
        <x:v>798</x:v>
      </x:c>
      <x:c r="I53" s="3" t="s">
        <x:v>1681</x:v>
      </x:c>
      <x:c r="J53" s="3" t="s">
        <x:v>1434</x:v>
      </x:c>
      <x:c r="K53" s="3"/>
      <x:c r="L53" s="19" t="s">
        <x:v>1682</x:v>
      </x:c>
    </x:row>
    <x:row r="54" ht="166.35000610351562" customHeight="1">
      <x:c r="A54" s="20" t="s">
        <x:v>678</x:v>
      </x:c>
      <x:c r="B54" s="22" t="s">
        <x:v>1683</x:v>
      </x:c>
      <x:c r="C54" s="1" t="s">
        <x:v>1684</x:v>
      </x:c>
      <x:c r="D54" s="1" t="s">
        <x:v>1685</x:v>
      </x:c>
      <x:c r="E54" s="1">
        <x:v>1956881</x:v>
      </x:c>
      <x:c r="F54" s="1">
        <x:v>1957678</x:v>
      </x:c>
      <x:c r="G54" s="1" t="s">
        <x:v>1458</x:v>
      </x:c>
      <x:c r="H54" s="1">
        <x:f t="shared" si="3"/>
        <x:v>798</x:v>
      </x:c>
      <x:c r="I54" s="1" t="s">
        <x:v>1686</x:v>
      </x:c>
      <x:c r="J54" s="1" t="s">
        <x:v>1434</x:v>
      </x:c>
      <x:c r="K54" s="1"/>
      <x:c r="L54" s="18" t="s">
        <x:v>1687</x:v>
      </x:c>
    </x:row>
    <x:row r="55" ht="166.35000610351562" customHeight="1">
      <x:c r="A55" s="21" t="s">
        <x:v>686</x:v>
      </x:c>
      <x:c r="B55" s="23" t="s">
        <x:v>1688</x:v>
      </x:c>
      <x:c r="C55" s="3" t="s">
        <x:v>1689</x:v>
      </x:c>
      <x:c r="D55" s="3" t="s">
        <x:v>1690</x:v>
      </x:c>
      <x:c r="E55" s="3">
        <x:v>2025732</x:v>
      </x:c>
      <x:c r="F55" s="3">
        <x:v>2026532</x:v>
      </x:c>
      <x:c r="G55" s="3" t="s">
        <x:v>1432</x:v>
      </x:c>
      <x:c r="H55" s="3">
        <x:f t="shared" si="3"/>
        <x:v>801</x:v>
      </x:c>
      <x:c r="I55" s="3" t="s">
        <x:v>1691</x:v>
      </x:c>
      <x:c r="J55" s="3" t="s">
        <x:v>1434</x:v>
      </x:c>
      <x:c r="K55" s="3"/>
      <x:c r="L55" s="19" t="s">
        <x:v>1692</x:v>
      </x:c>
    </x:row>
    <x:row r="56" ht="166.35000610351562" customHeight="1">
      <x:c r="A56" s="20" t="s">
        <x:v>695</x:v>
      </x:c>
      <x:c r="B56" s="22" t="s">
        <x:v>1693</x:v>
      </x:c>
      <x:c r="C56" s="1" t="s">
        <x:v>1694</x:v>
      </x:c>
      <x:c r="D56" s="1" t="s">
        <x:v>1695</x:v>
      </x:c>
      <x:c r="E56" s="1">
        <x:v>20994</x:v>
      </x:c>
      <x:c r="F56" s="1">
        <x:v>21788</x:v>
      </x:c>
      <x:c r="G56" s="1" t="s">
        <x:v>1458</x:v>
      </x:c>
      <x:c r="H56" s="1">
        <x:f t="shared" si="3"/>
        <x:v>795</x:v>
      </x:c>
      <x:c r="I56" s="1" t="s">
        <x:v>1696</x:v>
      </x:c>
      <x:c r="J56" s="1" t="s">
        <x:v>1434</x:v>
      </x:c>
      <x:c r="K56" s="1"/>
      <x:c r="L56" s="18" t="s">
        <x:v>1697</x:v>
      </x:c>
    </x:row>
    <x:row r="57" ht="33.29999923706055" customHeight="1">
      <x:c r="A57" s="21" t="s">
        <x:v>704</x:v>
      </x:c>
      <x:c r="B57" s="23" t="s">
        <x:v>1698</x:v>
      </x:c>
      <x:c r="C57" s="3"/>
      <x:c r="D57" s="3"/>
      <x:c r="E57" s="3"/>
      <x:c r="F57" s="3"/>
      <x:c r="G57" s="3"/>
      <x:c r="H57" s="3">
        <x:v>0</x:v>
      </x:c>
      <x:c r="I57" s="3"/>
      <x:c r="J57" s="3"/>
      <x:c r="K57" s="3"/>
      <x:c r="L57" s="19"/>
    </x:row>
    <x:row r="58" ht="179.64999389648438" customHeight="1">
      <x:c r="A58" s="20" t="s">
        <x:v>713</x:v>
      </x:c>
      <x:c r="B58" s="22" t="s">
        <x:v>1699</x:v>
      </x:c>
      <x:c r="C58" s="1" t="s">
        <x:v>1700</x:v>
      </x:c>
      <x:c r="D58" s="1" t="s">
        <x:v>1701</x:v>
      </x:c>
      <x:c r="E58" s="1">
        <x:v>19592</x:v>
      </x:c>
      <x:c r="F58" s="1">
        <x:v>20434</x:v>
      </x:c>
      <x:c r="G58" s="1" t="s">
        <x:v>1458</x:v>
      </x:c>
      <x:c r="H58" s="1" t="n">
        <x:f t="shared" ref="H58:H71" si="4">F58-E58+1</x:f>
        <x:v>843</x:v>
      </x:c>
      <x:c r="I58" s="1" t="s">
        <x:v>1702</x:v>
      </x:c>
      <x:c r="J58" s="1" t="s">
        <x:v>1535</x:v>
      </x:c>
      <x:c r="K58" s="1"/>
      <x:c r="L58" s="18" t="s">
        <x:v>1703</x:v>
      </x:c>
    </x:row>
    <x:row r="59" ht="179.64999389648438" customHeight="1">
      <x:c r="A59" s="21" t="s">
        <x:v>725</x:v>
      </x:c>
      <x:c r="B59" s="23" t="s">
        <x:v>1704</x:v>
      </x:c>
      <x:c r="C59" s="3" t="s">
        <x:v>1705</x:v>
      </x:c>
      <x:c r="D59" s="3" t="s">
        <x:v>1706</x:v>
      </x:c>
      <x:c r="E59" s="3">
        <x:v>1944893</x:v>
      </x:c>
      <x:c r="F59" s="3">
        <x:v>1945699</x:v>
      </x:c>
      <x:c r="G59" s="3" t="s">
        <x:v>1458</x:v>
      </x:c>
      <x:c r="H59" s="3">
        <x:f t="shared" si="4"/>
        <x:v>807</x:v>
      </x:c>
      <x:c r="I59" s="3" t="s">
        <x:v>1707</x:v>
      </x:c>
      <x:c r="J59" s="3" t="s">
        <x:v>1434</x:v>
      </x:c>
      <x:c r="K59" s="3"/>
      <x:c r="L59" s="19" t="s">
        <x:v>1708</x:v>
      </x:c>
    </x:row>
    <x:row r="60" ht="166.35000610351562" customHeight="1">
      <x:c r="A60" s="20" t="s">
        <x:v>734</x:v>
      </x:c>
      <x:c r="B60" s="22" t="s">
        <x:v>1709</x:v>
      </x:c>
      <x:c r="C60" s="1" t="s">
        <x:v>1710</x:v>
      </x:c>
      <x:c r="D60" s="1" t="s">
        <x:v>1711</x:v>
      </x:c>
      <x:c r="E60" s="1">
        <x:v>3428867</x:v>
      </x:c>
      <x:c r="F60" s="1">
        <x:v>3429682</x:v>
      </x:c>
      <x:c r="G60" s="1" t="s">
        <x:v>1432</x:v>
      </x:c>
      <x:c r="H60" s="1">
        <x:f t="shared" si="4"/>
        <x:v>816</x:v>
      </x:c>
      <x:c r="I60" s="1" t="s">
        <x:v>1712</x:v>
      </x:c>
      <x:c r="J60" s="1" t="s">
        <x:v>1434</x:v>
      </x:c>
      <x:c r="K60" s="1"/>
      <x:c r="L60" s="18" t="s">
        <x:v>1713</x:v>
      </x:c>
    </x:row>
    <x:row r="61" ht="166.35000610351562" customHeight="1">
      <x:c r="A61" s="21" t="s">
        <x:v>743</x:v>
      </x:c>
      <x:c r="B61" s="23" t="s">
        <x:v>1714</x:v>
      </x:c>
      <x:c r="C61" s="3" t="s">
        <x:v>1715</x:v>
      </x:c>
      <x:c r="D61" s="3" t="s">
        <x:v>1716</x:v>
      </x:c>
      <x:c r="E61" s="3">
        <x:v>1493168</x:v>
      </x:c>
      <x:c r="F61" s="3">
        <x:v>1493971</x:v>
      </x:c>
      <x:c r="G61" s="3" t="s">
        <x:v>1458</x:v>
      </x:c>
      <x:c r="H61" s="3">
        <x:f t="shared" si="4"/>
        <x:v>804</x:v>
      </x:c>
      <x:c r="I61" s="3" t="s">
        <x:v>1717</x:v>
      </x:c>
      <x:c r="J61" s="3" t="s">
        <x:v>1434</x:v>
      </x:c>
      <x:c r="K61" s="3"/>
      <x:c r="L61" s="19" t="s">
        <x:v>1718</x:v>
      </x:c>
    </x:row>
    <x:row r="62" ht="166.35000610351562" customHeight="1">
      <x:c r="A62" s="20" t="s">
        <x:v>752</x:v>
      </x:c>
      <x:c r="B62" s="22" t="s">
        <x:v>1719</x:v>
      </x:c>
      <x:c r="C62" s="1" t="s">
        <x:v>1720</x:v>
      </x:c>
      <x:c r="D62" s="1" t="s">
        <x:v>1721</x:v>
      </x:c>
      <x:c r="E62" s="1">
        <x:v>297221</x:v>
      </x:c>
      <x:c r="F62" s="1">
        <x:v>298018</x:v>
      </x:c>
      <x:c r="G62" s="1" t="s">
        <x:v>1432</x:v>
      </x:c>
      <x:c r="H62" s="1">
        <x:f t="shared" si="4"/>
        <x:v>798</x:v>
      </x:c>
      <x:c r="I62" s="1" t="s">
        <x:v>1722</x:v>
      </x:c>
      <x:c r="J62" s="1" t="s">
        <x:v>1434</x:v>
      </x:c>
      <x:c r="K62" s="1"/>
      <x:c r="L62" s="18" t="s">
        <x:v>1723</x:v>
      </x:c>
    </x:row>
    <x:row r="63" ht="166.35000610351562" customHeight="1">
      <x:c r="A63" s="21" t="s">
        <x:v>760</x:v>
      </x:c>
      <x:c r="B63" s="23" t="s">
        <x:v>1724</x:v>
      </x:c>
      <x:c r="C63" s="3" t="s">
        <x:v>1725</x:v>
      </x:c>
      <x:c r="D63" s="3" t="s">
        <x:v>1726</x:v>
      </x:c>
      <x:c r="E63" s="3">
        <x:v>7092107</x:v>
      </x:c>
      <x:c r="F63" s="3">
        <x:v>7092922</x:v>
      </x:c>
      <x:c r="G63" s="3" t="s">
        <x:v>1458</x:v>
      </x:c>
      <x:c r="H63" s="3">
        <x:f t="shared" si="4"/>
        <x:v>816</x:v>
      </x:c>
      <x:c r="I63" s="3" t="s">
        <x:v>1727</x:v>
      </x:c>
      <x:c r="J63" s="3" t="s">
        <x:v>1434</x:v>
      </x:c>
      <x:c r="K63" s="3"/>
      <x:c r="L63" s="19" t="s">
        <x:v>1728</x:v>
      </x:c>
    </x:row>
    <x:row r="64" ht="166.35000610351562" customHeight="1">
      <x:c r="A64" s="20" t="s">
        <x:v>768</x:v>
      </x:c>
      <x:c r="B64" s="22" t="s">
        <x:v>1729</x:v>
      </x:c>
      <x:c r="C64" s="1" t="s">
        <x:v>1730</x:v>
      </x:c>
      <x:c r="D64" s="1" t="s">
        <x:v>1731</x:v>
      </x:c>
      <x:c r="E64" s="1">
        <x:v>7293684</x:v>
      </x:c>
      <x:c r="F64" s="1">
        <x:v>7294481</x:v>
      </x:c>
      <x:c r="G64" s="1" t="s">
        <x:v>1458</x:v>
      </x:c>
      <x:c r="H64" s="1">
        <x:f t="shared" si="4"/>
        <x:v>798</x:v>
      </x:c>
      <x:c r="I64" s="1" t="s">
        <x:v>1732</x:v>
      </x:c>
      <x:c r="J64" s="1" t="s">
        <x:v>1434</x:v>
      </x:c>
      <x:c r="K64" s="1"/>
      <x:c r="L64" s="18" t="s">
        <x:v>1733</x:v>
      </x:c>
    </x:row>
    <x:row r="65" ht="166.35000610351562" customHeight="1">
      <x:c r="A65" s="21" t="s">
        <x:v>777</x:v>
      </x:c>
      <x:c r="B65" s="23" t="s">
        <x:v>1734</x:v>
      </x:c>
      <x:c r="C65" s="3" t="s">
        <x:v>1735</x:v>
      </x:c>
      <x:c r="D65" s="3" t="s">
        <x:v>1736</x:v>
      </x:c>
      <x:c r="E65" s="3">
        <x:v>334803</x:v>
      </x:c>
      <x:c r="F65" s="3">
        <x:v>335603</x:v>
      </x:c>
      <x:c r="G65" s="3" t="s">
        <x:v>1432</x:v>
      </x:c>
      <x:c r="H65" s="3">
        <x:f t="shared" si="4"/>
        <x:v>801</x:v>
      </x:c>
      <x:c r="I65" s="3" t="s">
        <x:v>1737</x:v>
      </x:c>
      <x:c r="J65" s="3" t="s">
        <x:v>1434</x:v>
      </x:c>
      <x:c r="K65" s="3"/>
      <x:c r="L65" s="19" t="s">
        <x:v>1738</x:v>
      </x:c>
    </x:row>
    <x:row r="66" ht="166.35000610351562" customHeight="1">
      <x:c r="A66" s="20" t="s">
        <x:v>784</x:v>
      </x:c>
      <x:c r="B66" s="22" t="s">
        <x:v>1739</x:v>
      </x:c>
      <x:c r="C66" s="1" t="s">
        <x:v>1740</x:v>
      </x:c>
      <x:c r="D66" s="1" t="s">
        <x:v>1741</x:v>
      </x:c>
      <x:c r="E66" s="1">
        <x:v>175607</x:v>
      </x:c>
      <x:c r="F66" s="1">
        <x:v>176407</x:v>
      </x:c>
      <x:c r="G66" s="1" t="s">
        <x:v>1432</x:v>
      </x:c>
      <x:c r="H66" s="1">
        <x:f t="shared" si="4"/>
        <x:v>801</x:v>
      </x:c>
      <x:c r="I66" s="1" t="s">
        <x:v>1742</x:v>
      </x:c>
      <x:c r="J66" s="1" t="s">
        <x:v>1434</x:v>
      </x:c>
      <x:c r="K66" s="1"/>
      <x:c r="L66" s="18" t="s">
        <x:v>1743</x:v>
      </x:c>
    </x:row>
    <x:row r="67" ht="166.35000610351562" customHeight="1">
      <x:c r="A67" s="21" t="s">
        <x:v>792</x:v>
      </x:c>
      <x:c r="B67" s="23" t="s">
        <x:v>1744</x:v>
      </x:c>
      <x:c r="C67" s="3" t="s">
        <x:v>1745</x:v>
      </x:c>
      <x:c r="D67" s="3" t="s">
        <x:v>1746</x:v>
      </x:c>
      <x:c r="E67" s="3">
        <x:v>13090</x:v>
      </x:c>
      <x:c r="F67" s="3">
        <x:v>13887</x:v>
      </x:c>
      <x:c r="G67" s="3" t="s">
        <x:v>1432</x:v>
      </x:c>
      <x:c r="H67" s="3">
        <x:f t="shared" si="4"/>
        <x:v>798</x:v>
      </x:c>
      <x:c r="I67" s="3" t="s">
        <x:v>1747</x:v>
      </x:c>
      <x:c r="J67" s="3" t="s">
        <x:v>1434</x:v>
      </x:c>
      <x:c r="K67" s="3"/>
      <x:c r="L67" s="19" t="s">
        <x:v>1748</x:v>
      </x:c>
    </x:row>
    <x:row r="68" ht="179.64999389648438" customHeight="1">
      <x:c r="A68" s="20" t="s">
        <x:v>800</x:v>
      </x:c>
      <x:c r="B68" s="22" t="s">
        <x:v>1749</x:v>
      </x:c>
      <x:c r="C68" s="1" t="s">
        <x:v>1750</x:v>
      </x:c>
      <x:c r="D68" s="1" t="s">
        <x:v>1751</x:v>
      </x:c>
      <x:c r="E68" s="1">
        <x:v>14434</x:v>
      </x:c>
      <x:c r="F68" s="1">
        <x:v>15288</x:v>
      </x:c>
      <x:c r="G68" s="1" t="s">
        <x:v>1432</x:v>
      </x:c>
      <x:c r="H68" s="1">
        <x:f t="shared" si="4"/>
        <x:v>855</x:v>
      </x:c>
      <x:c r="I68" s="1" t="s">
        <x:v>1752</x:v>
      </x:c>
      <x:c r="J68" s="1" t="s">
        <x:v>1434</x:v>
      </x:c>
      <x:c r="K68" s="1"/>
      <x:c r="L68" s="18" t="s">
        <x:v>1753</x:v>
      </x:c>
    </x:row>
    <x:row r="69" ht="179.64999389648438" customHeight="1">
      <x:c r="A69" s="21" t="s">
        <x:v>808</x:v>
      </x:c>
      <x:c r="B69" s="23" t="s">
        <x:v>1754</x:v>
      </x:c>
      <x:c r="C69" s="3" t="s">
        <x:v>1755</x:v>
      </x:c>
      <x:c r="D69" s="3" t="s">
        <x:v>1756</x:v>
      </x:c>
      <x:c r="E69" s="3">
        <x:v>3510366</x:v>
      </x:c>
      <x:c r="F69" s="3">
        <x:v>3511211</x:v>
      </x:c>
      <x:c r="G69" s="3" t="s">
        <x:v>1458</x:v>
      </x:c>
      <x:c r="H69" s="3">
        <x:f t="shared" si="4"/>
        <x:v>846</x:v>
      </x:c>
      <x:c r="I69" s="3" t="s">
        <x:v>1757</x:v>
      </x:c>
      <x:c r="J69" s="3" t="s">
        <x:v>1434</x:v>
      </x:c>
      <x:c r="K69" s="3"/>
      <x:c r="L69" s="19" t="s">
        <x:v>1758</x:v>
      </x:c>
    </x:row>
    <x:row r="70" ht="166.35000610351562" customHeight="1">
      <x:c r="A70" s="20" t="s">
        <x:v>817</x:v>
      </x:c>
      <x:c r="B70" s="22" t="s">
        <x:v>1759</x:v>
      </x:c>
      <x:c r="C70" s="1" t="s">
        <x:v>1760</x:v>
      </x:c>
      <x:c r="D70" s="1" t="s">
        <x:v>1761</x:v>
      </x:c>
      <x:c r="E70" s="1">
        <x:v>5554</x:v>
      </x:c>
      <x:c r="F70" s="1">
        <x:v>6372</x:v>
      </x:c>
      <x:c r="G70" s="1" t="s">
        <x:v>1432</x:v>
      </x:c>
      <x:c r="H70" s="1">
        <x:f t="shared" si="4"/>
        <x:v>819</x:v>
      </x:c>
      <x:c r="I70" s="1" t="s">
        <x:v>1762</x:v>
      </x:c>
      <x:c r="J70" s="1" t="s">
        <x:v>1434</x:v>
      </x:c>
      <x:c r="K70" s="1"/>
      <x:c r="L70" s="18" t="s">
        <x:v>1763</x:v>
      </x:c>
    </x:row>
    <x:row r="71" ht="179.64999389648438" customHeight="1">
      <x:c r="A71" s="21" t="s">
        <x:v>826</x:v>
      </x:c>
      <x:c r="B71" s="23" t="s">
        <x:v>1764</x:v>
      </x:c>
      <x:c r="C71" s="3" t="s">
        <x:v>1765</x:v>
      </x:c>
      <x:c r="D71" s="3" t="s">
        <x:v>1766</x:v>
      </x:c>
      <x:c r="E71" s="3">
        <x:v>3742186</x:v>
      </x:c>
      <x:c r="F71" s="3">
        <x:v>3743007</x:v>
      </x:c>
      <x:c r="G71" s="3" t="s">
        <x:v>1458</x:v>
      </x:c>
      <x:c r="H71" s="3">
        <x:f t="shared" si="4"/>
        <x:v>822</x:v>
      </x:c>
      <x:c r="I71" s="3" t="s">
        <x:v>1767</x:v>
      </x:c>
      <x:c r="J71" s="3" t="s">
        <x:v>1434</x:v>
      </x:c>
      <x:c r="K71" s="3"/>
      <x:c r="L71" s="19" t="s">
        <x:v>1768</x:v>
      </x:c>
    </x:row>
    <x:row r="72" ht="33.29999923706055" customHeight="1">
      <x:c r="A72" s="20" t="s">
        <x:v>835</x:v>
      </x:c>
      <x:c r="B72" s="22" t="s">
        <x:v>1769</x:v>
      </x:c>
      <x:c r="C72" s="1"/>
      <x:c r="D72" s="1"/>
      <x:c r="E72" s="1"/>
      <x:c r="F72" s="1"/>
      <x:c r="G72" s="1"/>
      <x:c r="H72" s="1">
        <x:v>0</x:v>
      </x:c>
      <x:c r="I72" s="1"/>
      <x:c r="J72" s="1"/>
      <x:c r="K72" s="1"/>
      <x:c r="L72" s="18"/>
    </x:row>
    <x:row r="73" ht="219.5" customHeight="1">
      <x:c r="A73" s="21" t="s">
        <x:v>846</x:v>
      </x:c>
      <x:c r="B73" s="23" t="s">
        <x:v>1770</x:v>
      </x:c>
      <x:c r="C73" s="3" t="s">
        <x:v>1771</x:v>
      </x:c>
      <x:c r="D73" s="3" t="s">
        <x:v>1772</x:v>
      </x:c>
      <x:c r="E73" s="3">
        <x:v>217487</x:v>
      </x:c>
      <x:c r="F73" s="3">
        <x:v>218578</x:v>
      </x:c>
      <x:c r="G73" s="3" t="s">
        <x:v>1458</x:v>
      </x:c>
      <x:c r="H73" s="3" t="n">
        <x:f>F73-E73+1</x:f>
        <x:v>1092</x:v>
      </x:c>
      <x:c r="I73" s="3" t="s">
        <x:v>1773</x:v>
      </x:c>
      <x:c r="J73" s="3" t="s">
        <x:v>1535</x:v>
      </x:c>
      <x:c r="K73" s="3"/>
      <x:c r="L73" s="19" t="s">
        <x:v>1774</x:v>
      </x:c>
    </x:row>
    <x:row r="74" ht="86.55000305175781" customHeight="1">
      <x:c r="A74" s="20" t="s">
        <x:v>861</x:v>
      </x:c>
      <x:c r="B74" s="22" t="s">
        <x:v>1775</x:v>
      </x:c>
      <x:c r="C74" s="1" t="s">
        <x:v>1776</x:v>
      </x:c>
      <x:c r="D74" s="1" t="s">
        <x:v>1777</x:v>
      </x:c>
      <x:c r="E74" s="1">
        <x:v>1729289</x:v>
      </x:c>
      <x:c r="F74" s="1">
        <x:v>1729588</x:v>
      </x:c>
      <x:c r="G74" s="1" t="s">
        <x:v>1458</x:v>
      </x:c>
      <x:c r="H74" s="1" t="n">
        <x:f>F74-E74+1</x:f>
        <x:v>300</x:v>
      </x:c>
      <x:c r="I74" s="1" t="s">
        <x:v>1778</x:v>
      </x:c>
      <x:c r="J74" s="1" t="s">
        <x:v>1434</x:v>
      </x:c>
      <x:c r="K74" s="1"/>
      <x:c r="L74" s="18" t="s">
        <x:v>1779</x:v>
      </x:c>
    </x:row>
    <x:row r="75" ht="86.55000305175781" customHeight="1">
      <x:c r="A75" s="21" t="s">
        <x:v>869</x:v>
      </x:c>
      <x:c r="B75" s="23" t="s">
        <x:v>1780</x:v>
      </x:c>
      <x:c r="C75" s="3" t="s">
        <x:v>1776</x:v>
      </x:c>
      <x:c r="D75" s="3" t="s">
        <x:v>1781</x:v>
      </x:c>
      <x:c r="E75" s="3">
        <x:v>1331600</x:v>
      </x:c>
      <x:c r="F75" s="3">
        <x:v>1331899</x:v>
      </x:c>
      <x:c r="G75" s="3" t="s">
        <x:v>1458</x:v>
      </x:c>
      <x:c r="H75" s="3" t="n">
        <x:f>F75-E75+1</x:f>
        <x:v>300</x:v>
      </x:c>
      <x:c r="I75" s="3" t="s">
        <x:v>1782</x:v>
      </x:c>
      <x:c r="J75" s="3" t="s">
        <x:v>1434</x:v>
      </x:c>
      <x:c r="K75" s="3"/>
      <x:c r="L75" s="19" t="s">
        <x:v>1779</x:v>
      </x:c>
    </x:row>
    <x:row r="76" ht="33.29999923706055" customHeight="1">
      <x:c r="A76" s="20"/>
      <x:c r="B76" s="22"/>
      <x:c r="C76" s="1"/>
      <x:c r="D76" s="1"/>
      <x:c r="E76" s="1"/>
      <x:c r="F76" s="1"/>
      <x:c r="G76" s="1"/>
      <x:c r="H76" s="1"/>
      <x:c r="I76" s="1"/>
      <x:c r="J76" s="1"/>
      <x:c r="K76" s="1"/>
      <x:c r="L76" s="18"/>
    </x:row>
    <x:row r="77" ht="46.599998474121094" customHeight="1">
      <x:c r="A77" s="21"/>
      <x:c r="B77" s="23"/>
      <x:c r="C77" s="3"/>
      <x:c r="D77" s="3"/>
      <x:c r="E77" s="3"/>
      <x:c r="F77" s="3"/>
      <x:c r="G77" s="3"/>
      <x:c r="H77" s="3"/>
      <x:c r="I77" s="3"/>
      <x:c r="J77" s="3"/>
      <x:c r="K77" s="3"/>
      <x:c r="L77" s="19"/>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38" customWidth="1"/>
    <x:col min="2" max="2" width="19" customWidth="1"/>
    <x:col min="3" max="3" width="28" customWidth="1"/>
    <x:col min="4" max="4" width="100" customWidth="1"/>
    <x:col min="5" max="5" width="19" customWidth="1"/>
    <x:col min="6" max="6" width="18" customWidth="1"/>
    <x:col min="7" max="7" width="31" customWidth="1"/>
    <x:col min="8" max="8" width="26" customWidth="1"/>
    <x:col min="9" max="9" width="55" customWidth="1"/>
    <x:col min="10" max="10" width="82" customWidth="1"/>
    <x:col min="11" max="11" width="47" customWidth="1"/>
    <x:col min="12" max="12" width="36" customWidth="1"/>
    <x:col min="13" max="13" width="75" customWidth="1"/>
    <x:col min="14" max="14" width="21" customWidth="1"/>
    <x:col min="15" max="15" width="96" customWidth="1"/>
    <x:col min="16" max="16" width="57" customWidth="1"/>
  </x:cols>
  <x:sheetData>
    <x:row r="1" ht="42" customHeight="1">
      <x:c r="A1" s="2" t="s">
        <x:v>1783</x:v>
      </x:c>
      <x:c r="B1" s="2" t="s">
        <x:v>81</x:v>
      </x:c>
      <x:c r="C1" s="2" t="s">
        <x:v>1784</x:v>
      </x:c>
      <x:c r="D1" s="2" t="s">
        <x:v>1785</x:v>
      </x:c>
      <x:c r="E1" s="2" t="s">
        <x:v>1786</x:v>
      </x:c>
      <x:c r="F1" s="2" t="s">
        <x:v>1787</x:v>
      </x:c>
      <x:c r="G1" s="2" t="s">
        <x:v>1788</x:v>
      </x:c>
      <x:c r="H1" s="2" t="s">
        <x:v>1789</x:v>
      </x:c>
      <x:c r="I1" s="2" t="s">
        <x:v>1790</x:v>
      </x:c>
      <x:c r="J1" s="2" t="s">
        <x:v>1791</x:v>
      </x:c>
      <x:c r="K1" s="2" t="s">
        <x:v>890</x:v>
      </x:c>
      <x:c r="L1" s="2" t="s">
        <x:v>891</x:v>
      </x:c>
      <x:c r="M1" s="2" t="s">
        <x:v>889</x:v>
      </x:c>
      <x:c r="N1" s="2" t="s">
        <x:v>1792</x:v>
      </x:c>
      <x:c r="O1" s="2" t="s">
        <x:v>893</x:v>
      </x:c>
      <x:c r="P1" s="2" t="s">
        <x:v>894</x:v>
      </x:c>
    </x:row>
    <x:row r="2" ht="166.35000610351562" customHeight="1">
      <x:c r="A2" s="13" t="s">
        <x:v>1793</x:v>
      </x:c>
      <x:c r="B2" s="15" t="s">
        <x:v>114</x:v>
      </x:c>
      <x:c r="C2" s="7" t="s">
        <x:v>1794</x:v>
      </x:c>
      <x:c r="D2" s="7" t="s">
        <x:v>1795</x:v>
      </x:c>
      <x:c r="E2" s="7"/>
      <x:c r="F2" s="7"/>
      <x:c r="G2" s="7" t="s">
        <x:v>1796</x:v>
      </x:c>
      <x:c r="H2" s="7" t="s">
        <x:v>1797</x:v>
      </x:c>
      <x:c r="I2" s="7" t="s">
        <x:v>904</x:v>
      </x:c>
      <x:c r="J2" s="7"/>
      <x:c r="K2" s="7" t="s">
        <x:v>902</x:v>
      </x:c>
      <x:c r="L2" s="7" t="s">
        <x:v>903</x:v>
      </x:c>
      <x:c r="M2" s="7" t="s">
        <x:v>901</x:v>
      </x:c>
      <x:c r="N2" s="8" t="b">
        <x:v>1</x:v>
      </x:c>
      <x:c r="O2" s="7" t="s">
        <x:v>1798</x:v>
      </x:c>
      <x:c r="P2" s="15" t="s">
        <x:v>906</x:v>
      </x:c>
    </x:row>
    <x:row r="3" ht="192.85000610351562" customHeight="1">
      <x:c r="A3" s="14" t="s">
        <x:v>1799</x:v>
      </x:c>
      <x:c r="B3" s="16" t="s">
        <x:v>114</x:v>
      </x:c>
      <x:c r="C3" s="10" t="s">
        <x:v>1794</x:v>
      </x:c>
      <x:c r="D3" s="10" t="s">
        <x:v>1800</x:v>
      </x:c>
      <x:c r="E3" s="10"/>
      <x:c r="F3" s="10"/>
      <x:c r="G3" s="10" t="s">
        <x:v>1796</x:v>
      </x:c>
      <x:c r="H3" s="10" t="s">
        <x:v>1797</x:v>
      </x:c>
      <x:c r="I3" s="10" t="s">
        <x:v>912</x:v>
      </x:c>
      <x:c r="J3" s="10"/>
      <x:c r="K3" s="10" t="s">
        <x:v>910</x:v>
      </x:c>
      <x:c r="L3" s="10" t="s">
        <x:v>911</x:v>
      </x:c>
      <x:c r="M3" s="10" t="s">
        <x:v>909</x:v>
      </x:c>
      <x:c r="N3" s="11" t="b">
        <x:v>1</x:v>
      </x:c>
      <x:c r="O3" s="10" t="s">
        <x:v>1801</x:v>
      </x:c>
      <x:c r="P3" s="16" t="s">
        <x:v>914</x:v>
      </x:c>
    </x:row>
    <x:row r="4" ht="99.8499984741211" customHeight="1">
      <x:c r="A4" s="13" t="s">
        <x:v>1802</x:v>
      </x:c>
      <x:c r="B4" s="15" t="s">
        <x:v>114</x:v>
      </x:c>
      <x:c r="C4" s="7" t="s">
        <x:v>1794</x:v>
      </x:c>
      <x:c r="D4" s="7" t="s">
        <x:v>1803</x:v>
      </x:c>
      <x:c r="E4" s="7"/>
      <x:c r="F4" s="7"/>
      <x:c r="G4" s="7" t="s">
        <x:v>1796</x:v>
      </x:c>
      <x:c r="H4" s="7" t="s">
        <x:v>1797</x:v>
      </x:c>
      <x:c r="I4" s="7" t="s">
        <x:v>918</x:v>
      </x:c>
      <x:c r="J4" s="7" t="s">
        <x:v>1804</x:v>
      </x:c>
      <x:c r="K4" s="7" t="s">
        <x:v>910</x:v>
      </x:c>
      <x:c r="L4" s="7" t="s">
        <x:v>917</x:v>
      </x:c>
      <x:c r="M4" s="7" t="s">
        <x:v>916</x:v>
      </x:c>
      <x:c r="N4" s="8" t="b">
        <x:v>1</x:v>
      </x:c>
      <x:c r="O4" s="7" t="s">
        <x:v>1805</x:v>
      </x:c>
      <x:c r="P4" s="15" t="s">
        <x:v>920</x:v>
      </x:c>
    </x:row>
    <x:row r="5" ht="86.55000305175781" customHeight="1">
      <x:c r="A5" s="14" t="s">
        <x:v>1806</x:v>
      </x:c>
      <x:c r="B5" s="16" t="s">
        <x:v>114</x:v>
      </x:c>
      <x:c r="C5" s="10" t="s">
        <x:v>1794</x:v>
      </x:c>
      <x:c r="D5" s="10" t="s">
        <x:v>1807</x:v>
      </x:c>
      <x:c r="E5" s="10"/>
      <x:c r="F5" s="10"/>
      <x:c r="G5" s="10" t="s">
        <x:v>1796</x:v>
      </x:c>
      <x:c r="H5" s="10" t="s">
        <x:v>1797</x:v>
      </x:c>
      <x:c r="I5" s="10" t="s">
        <x:v>929</x:v>
      </x:c>
      <x:c r="J5" s="10" t="s">
        <x:v>1808</x:v>
      </x:c>
      <x:c r="K5" s="10" t="s">
        <x:v>927</x:v>
      </x:c>
      <x:c r="L5" s="10" t="s">
        <x:v>928</x:v>
      </x:c>
      <x:c r="M5" s="10" t="s">
        <x:v>926</x:v>
      </x:c>
      <x:c r="N5" s="11" t="b">
        <x:v>1</x:v>
      </x:c>
      <x:c r="O5" s="10" t="s">
        <x:v>1809</x:v>
      </x:c>
      <x:c r="P5" s="16" t="s">
        <x:v>931</x:v>
      </x:c>
    </x:row>
    <x:row r="6" ht="86.55000305175781" customHeight="1">
      <x:c r="A6" s="13" t="s">
        <x:v>1810</x:v>
      </x:c>
      <x:c r="B6" s="15" t="s">
        <x:v>114</x:v>
      </x:c>
      <x:c r="C6" s="7" t="s">
        <x:v>1794</x:v>
      </x:c>
      <x:c r="D6" s="7" t="s">
        <x:v>1811</x:v>
      </x:c>
      <x:c r="E6" s="7"/>
      <x:c r="F6" s="7"/>
      <x:c r="G6" s="7" t="s">
        <x:v>1796</x:v>
      </x:c>
      <x:c r="H6" s="7" t="s">
        <x:v>1797</x:v>
      </x:c>
      <x:c r="I6" s="7" t="s">
        <x:v>929</x:v>
      </x:c>
      <x:c r="J6" s="7" t="s">
        <x:v>1808</x:v>
      </x:c>
      <x:c r="K6" s="7" t="s">
        <x:v>902</x:v>
      </x:c>
      <x:c r="L6" s="7" t="s">
        <x:v>937</x:v>
      </x:c>
      <x:c r="M6" s="7" t="s">
        <x:v>936</x:v>
      </x:c>
      <x:c r="N6" s="8" t="b">
        <x:v>1</x:v>
      </x:c>
      <x:c r="O6" s="7" t="s">
        <x:v>1812</x:v>
      </x:c>
      <x:c r="P6" s="15" t="s">
        <x:v>931</x:v>
      </x:c>
    </x:row>
    <x:row r="7" ht="86.55000305175781" customHeight="1">
      <x:c r="A7" s="14" t="s">
        <x:v>1813</x:v>
      </x:c>
      <x:c r="B7" s="16" t="s">
        <x:v>114</x:v>
      </x:c>
      <x:c r="C7" s="10" t="s">
        <x:v>1794</x:v>
      </x:c>
      <x:c r="D7" s="10" t="s">
        <x:v>1814</x:v>
      </x:c>
      <x:c r="E7" s="10"/>
      <x:c r="F7" s="10"/>
      <x:c r="G7" s="10" t="s">
        <x:v>1796</x:v>
      </x:c>
      <x:c r="H7" s="10" t="s">
        <x:v>1797</x:v>
      </x:c>
      <x:c r="I7" s="10" t="s">
        <x:v>944</x:v>
      </x:c>
      <x:c r="J7" s="10" t="s">
        <x:v>1815</x:v>
      </x:c>
      <x:c r="K7" s="10" t="s">
        <x:v>927</x:v>
      </x:c>
      <x:c r="L7" s="10" t="s">
        <x:v>943</x:v>
      </x:c>
      <x:c r="M7" s="10" t="s">
        <x:v>942</x:v>
      </x:c>
      <x:c r="N7" s="11" t="b">
        <x:v>1</x:v>
      </x:c>
      <x:c r="O7" s="10" t="s">
        <x:v>1816</x:v>
      </x:c>
      <x:c r="P7" s="16" t="s">
        <x:v>946</x:v>
      </x:c>
    </x:row>
    <x:row r="8" ht="73.1500015258789" customHeight="1">
      <x:c r="A8" s="13" t="s">
        <x:v>1817</x:v>
      </x:c>
      <x:c r="B8" s="15" t="s">
        <x:v>114</x:v>
      </x:c>
      <x:c r="C8" s="7" t="s">
        <x:v>1794</x:v>
      </x:c>
      <x:c r="D8" s="7" t="s">
        <x:v>1818</x:v>
      </x:c>
      <x:c r="E8" s="7"/>
      <x:c r="F8" s="7"/>
      <x:c r="G8" s="7" t="s">
        <x:v>1796</x:v>
      </x:c>
      <x:c r="H8" s="7" t="s">
        <x:v>1797</x:v>
      </x:c>
      <x:c r="I8" s="7" t="s">
        <x:v>944</x:v>
      </x:c>
      <x:c r="J8" s="7" t="s">
        <x:v>1815</x:v>
      </x:c>
      <x:c r="K8" s="7" t="s">
        <x:v>902</x:v>
      </x:c>
      <x:c r="L8" s="7" t="s">
        <x:v>949</x:v>
      </x:c>
      <x:c r="M8" s="7" t="s">
        <x:v>948</x:v>
      </x:c>
      <x:c r="N8" s="8" t="b">
        <x:v>1</x:v>
      </x:c>
      <x:c r="O8" s="7" t="s">
        <x:v>1819</x:v>
      </x:c>
      <x:c r="P8" s="15" t="s">
        <x:v>946</x:v>
      </x:c>
    </x:row>
    <x:row r="9" ht="73.1500015258789" customHeight="1">
      <x:c r="A9" s="14" t="s">
        <x:v>1820</x:v>
      </x:c>
      <x:c r="B9" s="16" t="s">
        <x:v>114</x:v>
      </x:c>
      <x:c r="C9" s="10" t="s">
        <x:v>1794</x:v>
      </x:c>
      <x:c r="D9" s="10" t="s">
        <x:v>1821</x:v>
      </x:c>
      <x:c r="E9" s="10"/>
      <x:c r="F9" s="10"/>
      <x:c r="G9" s="10" t="s">
        <x:v>1796</x:v>
      </x:c>
      <x:c r="H9" s="10" t="s">
        <x:v>1797</x:v>
      </x:c>
      <x:c r="I9" s="10" t="s">
        <x:v>944</x:v>
      </x:c>
      <x:c r="J9" s="10" t="s">
        <x:v>1815</x:v>
      </x:c>
      <x:c r="K9" s="10" t="s">
        <x:v>902</x:v>
      </x:c>
      <x:c r="L9" s="10" t="s">
        <x:v>952</x:v>
      </x:c>
      <x:c r="M9" s="10" t="s">
        <x:v>948</x:v>
      </x:c>
      <x:c r="N9" s="11" t="b">
        <x:v>1</x:v>
      </x:c>
      <x:c r="O9" s="10" t="s">
        <x:v>1822</x:v>
      </x:c>
      <x:c r="P9" s="16" t="s">
        <x:v>946</x:v>
      </x:c>
    </x:row>
    <x:row r="10" ht="139.6999969482422" customHeight="1">
      <x:c r="A10" s="13" t="s">
        <x:v>1823</x:v>
      </x:c>
      <x:c r="B10" s="15" t="s">
        <x:v>135</x:v>
      </x:c>
      <x:c r="C10" s="7" t="s">
        <x:v>1794</x:v>
      </x:c>
      <x:c r="D10" s="7" t="s">
        <x:v>1824</x:v>
      </x:c>
      <x:c r="E10" s="7"/>
      <x:c r="F10" s="7"/>
      <x:c r="G10" s="7" t="s">
        <x:v>1796</x:v>
      </x:c>
      <x:c r="H10" s="7" t="s">
        <x:v>1797</x:v>
      </x:c>
      <x:c r="I10" s="7" t="s">
        <x:v>960</x:v>
      </x:c>
      <x:c r="J10" s="7"/>
      <x:c r="K10" s="7" t="s">
        <x:v>958</x:v>
      </x:c>
      <x:c r="L10" s="7" t="s">
        <x:v>959</x:v>
      </x:c>
      <x:c r="M10" s="7" t="s">
        <x:v>957</x:v>
      </x:c>
      <x:c r="N10" s="8" t="b">
        <x:v>1</x:v>
      </x:c>
      <x:c r="O10" s="7" t="s">
        <x:v>1825</x:v>
      </x:c>
      <x:c r="P10" s="15" t="s">
        <x:v>962</x:v>
      </x:c>
    </x:row>
    <x:row r="11" ht="126.4000015258789" customHeight="1">
      <x:c r="A11" s="14" t="s">
        <x:v>1826</x:v>
      </x:c>
      <x:c r="B11" s="16" t="s">
        <x:v>135</x:v>
      </x:c>
      <x:c r="C11" s="10" t="s">
        <x:v>1794</x:v>
      </x:c>
      <x:c r="D11" s="10" t="s">
        <x:v>1827</x:v>
      </x:c>
      <x:c r="E11" s="10"/>
      <x:c r="F11" s="10"/>
      <x:c r="G11" s="10" t="s">
        <x:v>1796</x:v>
      </x:c>
      <x:c r="H11" s="10" t="s">
        <x:v>1797</x:v>
      </x:c>
      <x:c r="I11" s="10" t="s">
        <x:v>968</x:v>
      </x:c>
      <x:c r="J11" s="10" t="s">
        <x:v>1828</x:v>
      </x:c>
      <x:c r="K11" s="10" t="s">
        <x:v>966</x:v>
      </x:c>
      <x:c r="L11" s="10" t="s">
        <x:v>967</x:v>
      </x:c>
      <x:c r="M11" s="10" t="s">
        <x:v>965</x:v>
      </x:c>
      <x:c r="N11" s="11" t="b">
        <x:v>1</x:v>
      </x:c>
      <x:c r="O11" s="10" t="s">
        <x:v>1829</x:v>
      </x:c>
      <x:c r="P11" s="16" t="s">
        <x:v>970</x:v>
      </x:c>
    </x:row>
    <x:row r="12" ht="86.55000305175781" customHeight="1">
      <x:c r="A12" s="13" t="s">
        <x:v>1830</x:v>
      </x:c>
      <x:c r="B12" s="15" t="s">
        <x:v>135</x:v>
      </x:c>
      <x:c r="C12" s="7" t="s">
        <x:v>1794</x:v>
      </x:c>
      <x:c r="D12" s="7" t="s">
        <x:v>1831</x:v>
      </x:c>
      <x:c r="E12" s="7"/>
      <x:c r="F12" s="7"/>
      <x:c r="G12" s="7" t="s">
        <x:v>1796</x:v>
      </x:c>
      <x:c r="H12" s="7" t="s">
        <x:v>1797</x:v>
      </x:c>
      <x:c r="I12" s="7" t="s">
        <x:v>975</x:v>
      </x:c>
      <x:c r="J12" s="7" t="s">
        <x:v>1832</x:v>
      </x:c>
      <x:c r="K12" s="7" t="s">
        <x:v>973</x:v>
      </x:c>
      <x:c r="L12" s="7" t="s">
        <x:v>974</x:v>
      </x:c>
      <x:c r="M12" s="7" t="s">
        <x:v>942</x:v>
      </x:c>
      <x:c r="N12" s="8" t="b">
        <x:v>1</x:v>
      </x:c>
      <x:c r="O12" s="7" t="s">
        <x:v>1833</x:v>
      </x:c>
      <x:c r="P12" s="15" t="s">
        <x:v>977</x:v>
      </x:c>
    </x:row>
    <x:row r="13" ht="86.55000305175781" customHeight="1">
      <x:c r="A13" s="14" t="s">
        <x:v>1834</x:v>
      </x:c>
      <x:c r="B13" s="16" t="s">
        <x:v>135</x:v>
      </x:c>
      <x:c r="C13" s="10" t="s">
        <x:v>1794</x:v>
      </x:c>
      <x:c r="D13" s="10" t="s">
        <x:v>1835</x:v>
      </x:c>
      <x:c r="E13" s="10"/>
      <x:c r="F13" s="10"/>
      <x:c r="G13" s="10" t="s">
        <x:v>1796</x:v>
      </x:c>
      <x:c r="H13" s="10" t="s">
        <x:v>1797</x:v>
      </x:c>
      <x:c r="I13" s="10" t="s">
        <x:v>975</x:v>
      </x:c>
      <x:c r="J13" s="10" t="s">
        <x:v>1832</x:v>
      </x:c>
      <x:c r="K13" s="10" t="s">
        <x:v>973</x:v>
      </x:c>
      <x:c r="L13" s="10" t="s">
        <x:v>980</x:v>
      </x:c>
      <x:c r="M13" s="10" t="s">
        <x:v>942</x:v>
      </x:c>
      <x:c r="N13" s="11" t="b">
        <x:v>1</x:v>
      </x:c>
      <x:c r="O13" s="10" t="s">
        <x:v>1836</x:v>
      </x:c>
      <x:c r="P13" s="16" t="s">
        <x:v>977</x:v>
      </x:c>
    </x:row>
    <x:row r="14" ht="86.55000305175781" customHeight="1">
      <x:c r="A14" s="13" t="s">
        <x:v>1837</x:v>
      </x:c>
      <x:c r="B14" s="15" t="s">
        <x:v>135</x:v>
      </x:c>
      <x:c r="C14" s="7" t="s">
        <x:v>1794</x:v>
      </x:c>
      <x:c r="D14" s="7" t="s">
        <x:v>1838</x:v>
      </x:c>
      <x:c r="E14" s="7"/>
      <x:c r="F14" s="7"/>
      <x:c r="G14" s="7" t="s">
        <x:v>1796</x:v>
      </x:c>
      <x:c r="H14" s="7" t="s">
        <x:v>1797</x:v>
      </x:c>
      <x:c r="I14" s="7" t="s">
        <x:v>975</x:v>
      </x:c>
      <x:c r="J14" s="7" t="s">
        <x:v>1832</x:v>
      </x:c>
      <x:c r="K14" s="7" t="s">
        <x:v>973</x:v>
      </x:c>
      <x:c r="L14" s="7" t="s">
        <x:v>984</x:v>
      </x:c>
      <x:c r="M14" s="7" t="s">
        <x:v>942</x:v>
      </x:c>
      <x:c r="N14" s="8" t="b">
        <x:v>1</x:v>
      </x:c>
      <x:c r="O14" s="7" t="s">
        <x:v>1839</x:v>
      </x:c>
      <x:c r="P14" s="15" t="s">
        <x:v>977</x:v>
      </x:c>
    </x:row>
    <x:row r="15" ht="86.55000305175781" customHeight="1">
      <x:c r="A15" s="14" t="s">
        <x:v>1840</x:v>
      </x:c>
      <x:c r="B15" s="16" t="s">
        <x:v>135</x:v>
      </x:c>
      <x:c r="C15" s="10" t="s">
        <x:v>1794</x:v>
      </x:c>
      <x:c r="D15" s="10" t="s">
        <x:v>1841</x:v>
      </x:c>
      <x:c r="E15" s="10"/>
      <x:c r="F15" s="10"/>
      <x:c r="G15" s="10" t="s">
        <x:v>1796</x:v>
      </x:c>
      <x:c r="H15" s="10" t="s">
        <x:v>1797</x:v>
      </x:c>
      <x:c r="I15" s="10" t="s">
        <x:v>975</x:v>
      </x:c>
      <x:c r="J15" s="10" t="s">
        <x:v>1832</x:v>
      </x:c>
      <x:c r="K15" s="10" t="s">
        <x:v>973</x:v>
      </x:c>
      <x:c r="L15" s="10" t="s">
        <x:v>988</x:v>
      </x:c>
      <x:c r="M15" s="10" t="s">
        <x:v>942</x:v>
      </x:c>
      <x:c r="N15" s="11" t="b">
        <x:v>1</x:v>
      </x:c>
      <x:c r="O15" s="10" t="s">
        <x:v>1842</x:v>
      </x:c>
      <x:c r="P15" s="16" t="s">
        <x:v>977</x:v>
      </x:c>
    </x:row>
    <x:row r="16" ht="86.55000305175781" customHeight="1">
      <x:c r="A16" s="13" t="s">
        <x:v>1843</x:v>
      </x:c>
      <x:c r="B16" s="15" t="s">
        <x:v>135</x:v>
      </x:c>
      <x:c r="C16" s="7" t="s">
        <x:v>1794</x:v>
      </x:c>
      <x:c r="D16" s="7" t="s">
        <x:v>1844</x:v>
      </x:c>
      <x:c r="E16" s="7"/>
      <x:c r="F16" s="7"/>
      <x:c r="G16" s="7" t="s">
        <x:v>1796</x:v>
      </x:c>
      <x:c r="H16" s="7" t="s">
        <x:v>1797</x:v>
      </x:c>
      <x:c r="I16" s="7" t="s">
        <x:v>975</x:v>
      </x:c>
      <x:c r="J16" s="7" t="s">
        <x:v>1832</x:v>
      </x:c>
      <x:c r="K16" s="7" t="s">
        <x:v>973</x:v>
      </x:c>
      <x:c r="L16" s="7" t="s">
        <x:v>992</x:v>
      </x:c>
      <x:c r="M16" s="7" t="s">
        <x:v>942</x:v>
      </x:c>
      <x:c r="N16" s="8" t="b">
        <x:v>1</x:v>
      </x:c>
      <x:c r="O16" s="7" t="s">
        <x:v>1845</x:v>
      </x:c>
      <x:c r="P16" s="15" t="s">
        <x:v>977</x:v>
      </x:c>
    </x:row>
    <x:row r="17" ht="86.55000305175781" customHeight="1">
      <x:c r="A17" s="14" t="s">
        <x:v>1846</x:v>
      </x:c>
      <x:c r="B17" s="16" t="s">
        <x:v>135</x:v>
      </x:c>
      <x:c r="C17" s="10" t="s">
        <x:v>1794</x:v>
      </x:c>
      <x:c r="D17" s="10" t="s">
        <x:v>1847</x:v>
      </x:c>
      <x:c r="E17" s="10"/>
      <x:c r="F17" s="10"/>
      <x:c r="G17" s="10" t="s">
        <x:v>1796</x:v>
      </x:c>
      <x:c r="H17" s="10" t="s">
        <x:v>1797</x:v>
      </x:c>
      <x:c r="I17" s="10" t="s">
        <x:v>975</x:v>
      </x:c>
      <x:c r="J17" s="10" t="s">
        <x:v>1832</x:v>
      </x:c>
      <x:c r="K17" s="10" t="s">
        <x:v>973</x:v>
      </x:c>
      <x:c r="L17" s="10" t="s">
        <x:v>996</x:v>
      </x:c>
      <x:c r="M17" s="10" t="s">
        <x:v>942</x:v>
      </x:c>
      <x:c r="N17" s="11" t="b">
        <x:v>1</x:v>
      </x:c>
      <x:c r="O17" s="10" t="s">
        <x:v>1848</x:v>
      </x:c>
      <x:c r="P17" s="16" t="s">
        <x:v>977</x:v>
      </x:c>
    </x:row>
    <x:row r="18" ht="99.8499984741211" customHeight="1">
      <x:c r="A18" s="13" t="s">
        <x:v>1849</x:v>
      </x:c>
      <x:c r="B18" s="15" t="s">
        <x:v>135</x:v>
      </x:c>
      <x:c r="C18" s="7" t="s">
        <x:v>1794</x:v>
      </x:c>
      <x:c r="D18" s="7" t="s">
        <x:v>1850</x:v>
      </x:c>
      <x:c r="E18" s="7"/>
      <x:c r="F18" s="7"/>
      <x:c r="G18" s="7" t="s">
        <x:v>1796</x:v>
      </x:c>
      <x:c r="H18" s="7" t="s">
        <x:v>1797</x:v>
      </x:c>
      <x:c r="I18" s="7" t="s">
        <x:v>1001</x:v>
      </x:c>
      <x:c r="J18" s="7"/>
      <x:c r="K18" s="7" t="s">
        <x:v>973</x:v>
      </x:c>
      <x:c r="L18" s="7" t="s">
        <x:v>1000</x:v>
      </x:c>
      <x:c r="M18" s="7" t="s">
        <x:v>942</x:v>
      </x:c>
      <x:c r="N18" s="8" t="b">
        <x:v>1</x:v>
      </x:c>
      <x:c r="O18" s="7" t="s">
        <x:v>1851</x:v>
      </x:c>
      <x:c r="P18" s="15" t="s">
        <x:v>1003</x:v>
      </x:c>
    </x:row>
    <x:row r="19" ht="153" customHeight="1">
      <x:c r="A19" s="14" t="s">
        <x:v>1852</x:v>
      </x:c>
      <x:c r="B19" s="16" t="s">
        <x:v>150</x:v>
      </x:c>
      <x:c r="C19" s="10" t="s">
        <x:v>1794</x:v>
      </x:c>
      <x:c r="D19" s="10" t="s">
        <x:v>1853</x:v>
      </x:c>
      <x:c r="E19" s="10"/>
      <x:c r="F19" s="10"/>
      <x:c r="G19" s="10" t="s">
        <x:v>1796</x:v>
      </x:c>
      <x:c r="H19" s="10" t="s">
        <x:v>1797</x:v>
      </x:c>
      <x:c r="I19" s="10" t="s">
        <x:v>1006</x:v>
      </x:c>
      <x:c r="J19" s="10" t="s">
        <x:v>1854</x:v>
      </x:c>
      <x:c r="K19" s="10" t="s">
        <x:v>966</x:v>
      </x:c>
      <x:c r="L19" s="10" t="s">
        <x:v>1005</x:v>
      </x:c>
      <x:c r="M19" s="10" t="s">
        <x:v>1004</x:v>
      </x:c>
      <x:c r="N19" s="11" t="b">
        <x:v>1</x:v>
      </x:c>
      <x:c r="O19" s="10" t="s">
        <x:v>1855</x:v>
      </x:c>
      <x:c r="P19" s="16" t="s">
        <x:v>1008</x:v>
      </x:c>
    </x:row>
    <x:row r="20" ht="139.6999969482422" customHeight="1">
      <x:c r="A20" s="13" t="s">
        <x:v>1856</x:v>
      </x:c>
      <x:c r="B20" s="15" t="s">
        <x:v>150</x:v>
      </x:c>
      <x:c r="C20" s="7" t="s">
        <x:v>1794</x:v>
      </x:c>
      <x:c r="D20" s="7" t="s">
        <x:v>1857</x:v>
      </x:c>
      <x:c r="E20" s="7"/>
      <x:c r="F20" s="7"/>
      <x:c r="G20" s="7" t="s">
        <x:v>1796</x:v>
      </x:c>
      <x:c r="H20" s="7" t="s">
        <x:v>1797</x:v>
      </x:c>
      <x:c r="I20" s="7" t="s">
        <x:v>1014</x:v>
      </x:c>
      <x:c r="J20" s="7" t="s">
        <x:v>1858</x:v>
      </x:c>
      <x:c r="K20" s="7" t="s">
        <x:v>1013</x:v>
      </x:c>
      <x:c r="L20" s="7"/>
      <x:c r="M20" s="7" t="s">
        <x:v>1012</x:v>
      </x:c>
      <x:c r="N20" s="8" t="b">
        <x:v>1</x:v>
      </x:c>
      <x:c r="O20" s="7" t="s">
        <x:v>1859</x:v>
      </x:c>
      <x:c r="P20" s="15" t="s">
        <x:v>1016</x:v>
      </x:c>
    </x:row>
    <x:row r="21" ht="206.1999969482422" customHeight="1">
      <x:c r="A21" s="14" t="s">
        <x:v>1860</x:v>
      </x:c>
      <x:c r="B21" s="16" t="s">
        <x:v>150</x:v>
      </x:c>
      <x:c r="C21" s="10" t="s">
        <x:v>1794</x:v>
      </x:c>
      <x:c r="D21" s="10" t="s">
        <x:v>1861</x:v>
      </x:c>
      <x:c r="E21" s="10"/>
      <x:c r="F21" s="10"/>
      <x:c r="G21" s="10" t="s">
        <x:v>1796</x:v>
      </x:c>
      <x:c r="H21" s="10" t="s">
        <x:v>1797</x:v>
      </x:c>
      <x:c r="I21" s="10" t="s">
        <x:v>1021</x:v>
      </x:c>
      <x:c r="J21" s="10"/>
      <x:c r="K21" s="10" t="s">
        <x:v>1019</x:v>
      </x:c>
      <x:c r="L21" s="10" t="s">
        <x:v>1020</x:v>
      </x:c>
      <x:c r="M21" s="10" t="s">
        <x:v>1018</x:v>
      </x:c>
      <x:c r="N21" s="11" t="b">
        <x:v>1</x:v>
      </x:c>
      <x:c r="O21" s="10" t="s">
        <x:v>1862</x:v>
      </x:c>
      <x:c r="P21" s="16" t="s">
        <x:v>1023</x:v>
      </x:c>
    </x:row>
    <x:row r="22" ht="86.55000305175781" customHeight="1">
      <x:c r="A22" s="13" t="s">
        <x:v>1863</x:v>
      </x:c>
      <x:c r="B22" s="15" t="s">
        <x:v>150</x:v>
      </x:c>
      <x:c r="C22" s="7" t="s">
        <x:v>1794</x:v>
      </x:c>
      <x:c r="D22" s="7" t="s">
        <x:v>1864</x:v>
      </x:c>
      <x:c r="E22" s="7"/>
      <x:c r="F22" s="7"/>
      <x:c r="G22" s="7" t="s">
        <x:v>1796</x:v>
      </x:c>
      <x:c r="H22" s="7" t="s">
        <x:v>1797</x:v>
      </x:c>
      <x:c r="I22" s="7" t="s">
        <x:v>1028</x:v>
      </x:c>
      <x:c r="J22" s="7" t="s">
        <x:v>1854</x:v>
      </x:c>
      <x:c r="K22" s="7" t="s">
        <x:v>966</x:v>
      </x:c>
      <x:c r="L22" s="7" t="s">
        <x:v>1027</x:v>
      </x:c>
      <x:c r="M22" s="7" t="s">
        <x:v>1026</x:v>
      </x:c>
      <x:c r="N22" s="8" t="b">
        <x:v>1</x:v>
      </x:c>
      <x:c r="O22" s="7" t="s">
        <x:v>1865</x:v>
      </x:c>
      <x:c r="P22" s="15" t="s">
        <x:v>1008</x:v>
      </x:c>
    </x:row>
    <x:row r="23" ht="86.55000305175781" customHeight="1">
      <x:c r="A23" s="14" t="s">
        <x:v>1866</x:v>
      </x:c>
      <x:c r="B23" s="16" t="s">
        <x:v>150</x:v>
      </x:c>
      <x:c r="C23" s="10" t="s">
        <x:v>1794</x:v>
      </x:c>
      <x:c r="D23" s="10" t="s">
        <x:v>1867</x:v>
      </x:c>
      <x:c r="E23" s="10"/>
      <x:c r="F23" s="10"/>
      <x:c r="G23" s="10" t="s">
        <x:v>1796</x:v>
      </x:c>
      <x:c r="H23" s="10" t="s">
        <x:v>1797</x:v>
      </x:c>
      <x:c r="I23" s="10" t="s">
        <x:v>1028</x:v>
      </x:c>
      <x:c r="J23" s="10" t="s">
        <x:v>1854</x:v>
      </x:c>
      <x:c r="K23" s="10" t="s">
        <x:v>966</x:v>
      </x:c>
      <x:c r="L23" s="10" t="s">
        <x:v>1031</x:v>
      </x:c>
      <x:c r="M23" s="10" t="s">
        <x:v>1026</x:v>
      </x:c>
      <x:c r="N23" s="11" t="b">
        <x:v>1</x:v>
      </x:c>
      <x:c r="O23" s="10" t="s">
        <x:v>1868</x:v>
      </x:c>
      <x:c r="P23" s="16" t="s">
        <x:v>1008</x:v>
      </x:c>
    </x:row>
    <x:row r="24" ht="86.55000305175781" customHeight="1">
      <x:c r="A24" s="13" t="s">
        <x:v>1869</x:v>
      </x:c>
      <x:c r="B24" s="15" t="s">
        <x:v>150</x:v>
      </x:c>
      <x:c r="C24" s="7" t="s">
        <x:v>1794</x:v>
      </x:c>
      <x:c r="D24" s="7" t="s">
        <x:v>1870</x:v>
      </x:c>
      <x:c r="E24" s="7"/>
      <x:c r="F24" s="7"/>
      <x:c r="G24" s="7" t="s">
        <x:v>1796</x:v>
      </x:c>
      <x:c r="H24" s="7" t="s">
        <x:v>1797</x:v>
      </x:c>
      <x:c r="I24" s="7" t="s">
        <x:v>1028</x:v>
      </x:c>
      <x:c r="J24" s="7" t="s">
        <x:v>1854</x:v>
      </x:c>
      <x:c r="K24" s="7" t="s">
        <x:v>966</x:v>
      </x:c>
      <x:c r="L24" s="7" t="s">
        <x:v>1034</x:v>
      </x:c>
      <x:c r="M24" s="7" t="s">
        <x:v>1026</x:v>
      </x:c>
      <x:c r="N24" s="8" t="b">
        <x:v>1</x:v>
      </x:c>
      <x:c r="O24" s="7" t="s">
        <x:v>1871</x:v>
      </x:c>
      <x:c r="P24" s="15" t="s">
        <x:v>1008</x:v>
      </x:c>
    </x:row>
    <x:row r="25" ht="139.6999969482422" customHeight="1">
      <x:c r="A25" s="14" t="s">
        <x:v>1872</x:v>
      </x:c>
      <x:c r="B25" s="16" t="s">
        <x:v>164</x:v>
      </x:c>
      <x:c r="C25" s="10" t="s">
        <x:v>1794</x:v>
      </x:c>
      <x:c r="D25" s="10" t="s">
        <x:v>1873</x:v>
      </x:c>
      <x:c r="E25" s="10"/>
      <x:c r="F25" s="10"/>
      <x:c r="G25" s="10" t="s">
        <x:v>1796</x:v>
      </x:c>
      <x:c r="H25" s="10" t="s">
        <x:v>1797</x:v>
      </x:c>
      <x:c r="I25" s="10" t="s">
        <x:v>1041</x:v>
      </x:c>
      <x:c r="J25" s="10" t="s">
        <x:v>1874</x:v>
      </x:c>
      <x:c r="K25" s="10" t="s">
        <x:v>1039</x:v>
      </x:c>
      <x:c r="L25" s="10" t="s">
        <x:v>1040</x:v>
      </x:c>
      <x:c r="M25" s="10" t="s">
        <x:v>1038</x:v>
      </x:c>
      <x:c r="N25" s="11" t="b">
        <x:v>1</x:v>
      </x:c>
      <x:c r="O25" s="10" t="s">
        <x:v>1875</x:v>
      </x:c>
      <x:c r="P25" s="16" t="s">
        <x:v>177</x:v>
      </x:c>
    </x:row>
    <x:row r="26" ht="99.8499984741211" customHeight="1">
      <x:c r="A26" s="13" t="s">
        <x:v>1876</x:v>
      </x:c>
      <x:c r="B26" s="15" t="s">
        <x:v>164</x:v>
      </x:c>
      <x:c r="C26" s="7" t="s">
        <x:v>1794</x:v>
      </x:c>
      <x:c r="D26" s="7" t="s">
        <x:v>1877</x:v>
      </x:c>
      <x:c r="E26" s="7"/>
      <x:c r="F26" s="7"/>
      <x:c r="G26" s="7" t="s">
        <x:v>1796</x:v>
      </x:c>
      <x:c r="H26" s="7" t="s">
        <x:v>1797</x:v>
      </x:c>
      <x:c r="I26" s="7" t="s">
        <x:v>1046</x:v>
      </x:c>
      <x:c r="J26" s="7"/>
      <x:c r="K26" s="7" t="s">
        <x:v>1039</x:v>
      </x:c>
      <x:c r="L26" s="7"/>
      <x:c r="M26" s="7" t="s">
        <x:v>1045</x:v>
      </x:c>
      <x:c r="N26" s="8" t="b">
        <x:v>1</x:v>
      </x:c>
      <x:c r="O26" s="7" t="s">
        <x:v>1878</x:v>
      </x:c>
      <x:c r="P26" s="15" t="s">
        <x:v>1048</x:v>
      </x:c>
    </x:row>
    <x:row r="27" ht="113.0999984741211" customHeight="1">
      <x:c r="A27" s="14" t="s">
        <x:v>1879</x:v>
      </x:c>
      <x:c r="B27" s="16" t="s">
        <x:v>164</x:v>
      </x:c>
      <x:c r="C27" s="10" t="s">
        <x:v>1794</x:v>
      </x:c>
      <x:c r="D27" s="10" t="s">
        <x:v>1880</x:v>
      </x:c>
      <x:c r="E27" s="10"/>
      <x:c r="F27" s="10"/>
      <x:c r="G27" s="10" t="s">
        <x:v>1796</x:v>
      </x:c>
      <x:c r="H27" s="10" t="s">
        <x:v>1797</x:v>
      </x:c>
      <x:c r="I27" s="10" t="s">
        <x:v>1052</x:v>
      </x:c>
      <x:c r="J27" s="10" t="s">
        <x:v>1881</x:v>
      </x:c>
      <x:c r="K27" s="10" t="s">
        <x:v>966</x:v>
      </x:c>
      <x:c r="L27" s="10" t="s">
        <x:v>1051</x:v>
      </x:c>
      <x:c r="M27" s="10" t="s">
        <x:v>1050</x:v>
      </x:c>
      <x:c r="N27" s="11" t="b">
        <x:v>1</x:v>
      </x:c>
      <x:c r="O27" s="10" t="s">
        <x:v>1882</x:v>
      </x:c>
      <x:c r="P27" s="16" t="s">
        <x:v>1054</x:v>
      </x:c>
    </x:row>
    <x:row r="28" ht="113.0999984741211" customHeight="1">
      <x:c r="A28" s="13" t="s">
        <x:v>1883</x:v>
      </x:c>
      <x:c r="B28" s="15" t="s">
        <x:v>164</x:v>
      </x:c>
      <x:c r="C28" s="7" t="s">
        <x:v>1794</x:v>
      </x:c>
      <x:c r="D28" s="7" t="s">
        <x:v>1884</x:v>
      </x:c>
      <x:c r="E28" s="7"/>
      <x:c r="F28" s="7"/>
      <x:c r="G28" s="7" t="s">
        <x:v>1796</x:v>
      </x:c>
      <x:c r="H28" s="7" t="s">
        <x:v>1797</x:v>
      </x:c>
      <x:c r="I28" s="7" t="s">
        <x:v>1060</x:v>
      </x:c>
      <x:c r="J28" s="7" t="s">
        <x:v>1885</x:v>
      </x:c>
      <x:c r="K28" s="7" t="s">
        <x:v>1058</x:v>
      </x:c>
      <x:c r="L28" s="7" t="s">
        <x:v>1059</x:v>
      </x:c>
      <x:c r="M28" s="7" t="s">
        <x:v>1057</x:v>
      </x:c>
      <x:c r="N28" s="8" t="b">
        <x:v>1</x:v>
      </x:c>
      <x:c r="O28" s="7" t="s">
        <x:v>1886</x:v>
      </x:c>
      <x:c r="P28" s="15" t="s">
        <x:v>1062</x:v>
      </x:c>
    </x:row>
    <x:row r="29" ht="99.8499984741211" customHeight="1">
      <x:c r="A29" s="14" t="s">
        <x:v>1887</x:v>
      </x:c>
      <x:c r="B29" s="16" t="s">
        <x:v>164</x:v>
      </x:c>
      <x:c r="C29" s="10" t="s">
        <x:v>1794</x:v>
      </x:c>
      <x:c r="D29" s="10" t="s">
        <x:v>1888</x:v>
      </x:c>
      <x:c r="E29" s="10"/>
      <x:c r="F29" s="10"/>
      <x:c r="G29" s="10" t="s">
        <x:v>1796</x:v>
      </x:c>
      <x:c r="H29" s="10" t="s">
        <x:v>1797</x:v>
      </x:c>
      <x:c r="I29" s="10" t="s">
        <x:v>1068</x:v>
      </x:c>
      <x:c r="J29" s="10" t="s">
        <x:v>1889</x:v>
      </x:c>
      <x:c r="K29" s="10" t="s">
        <x:v>1066</x:v>
      </x:c>
      <x:c r="L29" s="10" t="s">
        <x:v>1067</x:v>
      </x:c>
      <x:c r="M29" s="10" t="s">
        <x:v>1065</x:v>
      </x:c>
      <x:c r="N29" s="11" t="b">
        <x:v>1</x:v>
      </x:c>
      <x:c r="O29" s="10" t="s">
        <x:v>1890</x:v>
      </x:c>
      <x:c r="P29" s="16" t="s">
        <x:v>1070</x:v>
      </x:c>
    </x:row>
    <x:row r="30" ht="86.55000305175781" customHeight="1">
      <x:c r="A30" s="13" t="s">
        <x:v>1891</x:v>
      </x:c>
      <x:c r="B30" s="15" t="s">
        <x:v>164</x:v>
      </x:c>
      <x:c r="C30" s="7" t="s">
        <x:v>1794</x:v>
      </x:c>
      <x:c r="D30" s="7" t="s">
        <x:v>1892</x:v>
      </x:c>
      <x:c r="E30" s="7"/>
      <x:c r="F30" s="7"/>
      <x:c r="G30" s="7" t="s">
        <x:v>1796</x:v>
      </x:c>
      <x:c r="H30" s="7" t="s">
        <x:v>1797</x:v>
      </x:c>
      <x:c r="I30" s="7" t="s">
        <x:v>1068</x:v>
      </x:c>
      <x:c r="J30" s="7" t="s">
        <x:v>1889</x:v>
      </x:c>
      <x:c r="K30" s="7" t="s">
        <x:v>1066</x:v>
      </x:c>
      <x:c r="L30" s="7" t="s">
        <x:v>1074</x:v>
      </x:c>
      <x:c r="M30" s="7" t="s">
        <x:v>1073</x:v>
      </x:c>
      <x:c r="N30" s="8" t="b">
        <x:v>1</x:v>
      </x:c>
      <x:c r="O30" s="7" t="s">
        <x:v>1893</x:v>
      </x:c>
      <x:c r="P30" s="15" t="s">
        <x:v>1070</x:v>
      </x:c>
    </x:row>
    <x:row r="31" ht="99.8499984741211" customHeight="1">
      <x:c r="A31" s="14" t="s">
        <x:v>1894</x:v>
      </x:c>
      <x:c r="B31" s="16" t="s">
        <x:v>164</x:v>
      </x:c>
      <x:c r="C31" s="10" t="s">
        <x:v>1794</x:v>
      </x:c>
      <x:c r="D31" s="10" t="s">
        <x:v>1895</x:v>
      </x:c>
      <x:c r="E31" s="10"/>
      <x:c r="F31" s="10"/>
      <x:c r="G31" s="10" t="s">
        <x:v>1796</x:v>
      </x:c>
      <x:c r="H31" s="10" t="s">
        <x:v>1797</x:v>
      </x:c>
      <x:c r="I31" s="10" t="s">
        <x:v>1068</x:v>
      </x:c>
      <x:c r="J31" s="10" t="s">
        <x:v>1889</x:v>
      </x:c>
      <x:c r="K31" s="10" t="s">
        <x:v>1066</x:v>
      </x:c>
      <x:c r="L31" s="10" t="s">
        <x:v>1078</x:v>
      </x:c>
      <x:c r="M31" s="10" t="s">
        <x:v>1077</x:v>
      </x:c>
      <x:c r="N31" s="11" t="b">
        <x:v>1</x:v>
      </x:c>
      <x:c r="O31" s="10" t="s">
        <x:v>1896</x:v>
      </x:c>
      <x:c r="P31" s="16" t="s">
        <x:v>1070</x:v>
      </x:c>
    </x:row>
    <x:row r="32" ht="139.6999969482422" customHeight="1">
      <x:c r="A32" s="13" t="s">
        <x:v>1897</x:v>
      </x:c>
      <x:c r="B32" s="15" t="s">
        <x:v>178</x:v>
      </x:c>
      <x:c r="C32" s="7" t="s">
        <x:v>1794</x:v>
      </x:c>
      <x:c r="D32" s="7" t="s">
        <x:v>1898</x:v>
      </x:c>
      <x:c r="E32" s="7"/>
      <x:c r="F32" s="7"/>
      <x:c r="G32" s="7" t="s">
        <x:v>1796</x:v>
      </x:c>
      <x:c r="H32" s="7" t="s">
        <x:v>1797</x:v>
      </x:c>
      <x:c r="I32" s="7" t="s">
        <x:v>1084</x:v>
      </x:c>
      <x:c r="J32" s="7" t="s">
        <x:v>1899</x:v>
      </x:c>
      <x:c r="K32" s="7" t="s">
        <x:v>1082</x:v>
      </x:c>
      <x:c r="L32" s="7" t="s">
        <x:v>1083</x:v>
      </x:c>
      <x:c r="M32" s="7" t="s">
        <x:v>1081</x:v>
      </x:c>
      <x:c r="N32" s="8" t="b">
        <x:v>1</x:v>
      </x:c>
      <x:c r="O32" s="7" t="s">
        <x:v>1900</x:v>
      </x:c>
      <x:c r="P32" s="15" t="s">
        <x:v>191</x:v>
      </x:c>
    </x:row>
    <x:row r="33" ht="126.4000015258789" customHeight="1">
      <x:c r="A33" s="14" t="s">
        <x:v>1901</x:v>
      </x:c>
      <x:c r="B33" s="16" t="s">
        <x:v>178</x:v>
      </x:c>
      <x:c r="C33" s="10" t="s">
        <x:v>1794</x:v>
      </x:c>
      <x:c r="D33" s="10" t="s">
        <x:v>1902</x:v>
      </x:c>
      <x:c r="E33" s="10"/>
      <x:c r="F33" s="10"/>
      <x:c r="G33" s="10" t="s">
        <x:v>1796</x:v>
      </x:c>
      <x:c r="H33" s="10" t="s">
        <x:v>1797</x:v>
      </x:c>
      <x:c r="I33" s="10" t="s">
        <x:v>1084</x:v>
      </x:c>
      <x:c r="J33" s="10" t="s">
        <x:v>1899</x:v>
      </x:c>
      <x:c r="K33" s="10" t="s">
        <x:v>1088</x:v>
      </x:c>
      <x:c r="L33" s="10"/>
      <x:c r="M33" s="10" t="s">
        <x:v>1045</x:v>
      </x:c>
      <x:c r="N33" s="11" t="b">
        <x:v>1</x:v>
      </x:c>
      <x:c r="O33" s="10" t="s">
        <x:v>1903</x:v>
      </x:c>
      <x:c r="P33" s="16" t="s">
        <x:v>191</x:v>
      </x:c>
    </x:row>
    <x:row r="34" ht="192.85000610351562" customHeight="1">
      <x:c r="A34" s="13" t="s">
        <x:v>1904</x:v>
      </x:c>
      <x:c r="B34" s="15" t="s">
        <x:v>192</x:v>
      </x:c>
      <x:c r="C34" s="7" t="s">
        <x:v>1794</x:v>
      </x:c>
      <x:c r="D34" s="7" t="s">
        <x:v>1905</x:v>
      </x:c>
      <x:c r="E34" s="7"/>
      <x:c r="F34" s="7"/>
      <x:c r="G34" s="7" t="s">
        <x:v>1796</x:v>
      </x:c>
      <x:c r="H34" s="7" t="s">
        <x:v>1797</x:v>
      </x:c>
      <x:c r="I34" s="7" t="s">
        <x:v>1094</x:v>
      </x:c>
      <x:c r="J34" s="7" t="s">
        <x:v>1906</x:v>
      </x:c>
      <x:c r="K34" s="7" t="s">
        <x:v>1082</x:v>
      </x:c>
      <x:c r="L34" s="7" t="s">
        <x:v>1093</x:v>
      </x:c>
      <x:c r="M34" s="7" t="s">
        <x:v>1092</x:v>
      </x:c>
      <x:c r="N34" s="8" t="b">
        <x:v>1</x:v>
      </x:c>
      <x:c r="O34" s="7" t="s">
        <x:v>1907</x:v>
      </x:c>
      <x:c r="P34" s="15" t="s">
        <x:v>207</x:v>
      </x:c>
    </x:row>
    <x:row r="35" ht="153" customHeight="1">
      <x:c r="A35" s="14" t="s">
        <x:v>1908</x:v>
      </x:c>
      <x:c r="B35" s="16" t="s">
        <x:v>192</x:v>
      </x:c>
      <x:c r="C35" s="10" t="s">
        <x:v>1794</x:v>
      </x:c>
      <x:c r="D35" s="10" t="s">
        <x:v>1909</x:v>
      </x:c>
      <x:c r="E35" s="10"/>
      <x:c r="F35" s="10"/>
      <x:c r="G35" s="10" t="s">
        <x:v>1796</x:v>
      </x:c>
      <x:c r="H35" s="10" t="s">
        <x:v>1797</x:v>
      </x:c>
      <x:c r="I35" s="10" t="s">
        <x:v>1094</x:v>
      </x:c>
      <x:c r="J35" s="10" t="s">
        <x:v>1906</x:v>
      </x:c>
      <x:c r="K35" s="10" t="s">
        <x:v>1082</x:v>
      </x:c>
      <x:c r="L35" s="10" t="s">
        <x:v>1098</x:v>
      </x:c>
      <x:c r="M35" s="10" t="s">
        <x:v>1097</x:v>
      </x:c>
      <x:c r="N35" s="11" t="b">
        <x:v>1</x:v>
      </x:c>
      <x:c r="O35" s="10" t="s">
        <x:v>1910</x:v>
      </x:c>
      <x:c r="P35" s="16" t="s">
        <x:v>207</x:v>
      </x:c>
    </x:row>
    <x:row r="36" ht="352.5" customHeight="1">
      <x:c r="A36" s="13" t="s">
        <x:v>1911</x:v>
      </x:c>
      <x:c r="B36" s="15" t="s">
        <x:v>208</x:v>
      </x:c>
      <x:c r="C36" s="7" t="s">
        <x:v>1794</x:v>
      </x:c>
      <x:c r="D36" s="7" t="s">
        <x:v>1912</x:v>
      </x:c>
      <x:c r="E36" s="7"/>
      <x:c r="F36" s="7"/>
      <x:c r="G36" s="7" t="s">
        <x:v>1796</x:v>
      </x:c>
      <x:c r="H36" s="7" t="s">
        <x:v>1797</x:v>
      </x:c>
      <x:c r="I36" s="7" t="s">
        <x:v>1104</x:v>
      </x:c>
      <x:c r="J36" s="7"/>
      <x:c r="K36" s="7" t="s">
        <x:v>1102</x:v>
      </x:c>
      <x:c r="L36" s="7" t="s">
        <x:v>1103</x:v>
      </x:c>
      <x:c r="M36" s="7" t="s">
        <x:v>1101</x:v>
      </x:c>
      <x:c r="N36" s="8" t="b">
        <x:v>1</x:v>
      </x:c>
      <x:c r="O36" s="7" t="s">
        <x:v>1913</x:v>
      </x:c>
      <x:c r="P36" s="15" t="s">
        <x:v>1106</x:v>
      </x:c>
    </x:row>
    <x:row r="37" ht="232.8000030517578" customHeight="1">
      <x:c r="A37" s="14" t="s">
        <x:v>1914</x:v>
      </x:c>
      <x:c r="B37" s="16" t="s">
        <x:v>223</x:v>
      </x:c>
      <x:c r="C37" s="10" t="s">
        <x:v>1794</x:v>
      </x:c>
      <x:c r="D37" s="10" t="s">
        <x:v>1915</x:v>
      </x:c>
      <x:c r="E37" s="10"/>
      <x:c r="F37" s="10"/>
      <x:c r="G37" s="10" t="s">
        <x:v>1796</x:v>
      </x:c>
      <x:c r="H37" s="10" t="s">
        <x:v>1797</x:v>
      </x:c>
      <x:c r="I37" s="10" t="s">
        <x:v>1112</x:v>
      </x:c>
      <x:c r="J37" s="10"/>
      <x:c r="K37" s="10" t="s">
        <x:v>1111</x:v>
      </x:c>
      <x:c r="L37" s="10" t="s">
        <x:v>232</x:v>
      </x:c>
      <x:c r="M37" s="10" t="s">
        <x:v>1110</x:v>
      </x:c>
      <x:c r="N37" s="11" t="b">
        <x:v>1</x:v>
      </x:c>
      <x:c r="O37" s="10" t="s">
        <x:v>1916</x:v>
      </x:c>
      <x:c r="P37" s="16" t="s">
        <x:v>1114</x:v>
      </x:c>
    </x:row>
    <x:row r="38" ht="272.75" customHeight="1">
      <x:c r="A38" s="13" t="s">
        <x:v>1917</x:v>
      </x:c>
      <x:c r="B38" s="15" t="s">
        <x:v>223</x:v>
      </x:c>
      <x:c r="C38" s="7" t="s">
        <x:v>1794</x:v>
      </x:c>
      <x:c r="D38" s="7" t="s">
        <x:v>1918</x:v>
      </x:c>
      <x:c r="E38" s="7"/>
      <x:c r="F38" s="7"/>
      <x:c r="G38" s="7" t="s">
        <x:v>1796</x:v>
      </x:c>
      <x:c r="H38" s="7" t="s">
        <x:v>1797</x:v>
      </x:c>
      <x:c r="I38" s="7" t="s">
        <x:v>1119</x:v>
      </x:c>
      <x:c r="J38" s="7"/>
      <x:c r="K38" s="7" t="s">
        <x:v>1118</x:v>
      </x:c>
      <x:c r="L38" s="7"/>
      <x:c r="M38" s="7" t="s">
        <x:v>1117</x:v>
      </x:c>
      <x:c r="N38" s="8" t="b">
        <x:v>1</x:v>
      </x:c>
      <x:c r="O38" s="7" t="s">
        <x:v>1919</x:v>
      </x:c>
      <x:c r="P38" s="15" t="s">
        <x:v>1114</x:v>
      </x:c>
    </x:row>
    <x:row r="39" ht="179.64999389648438" customHeight="1">
      <x:c r="A39" s="14" t="s">
        <x:v>1920</x:v>
      </x:c>
      <x:c r="B39" s="16" t="s">
        <x:v>237</x:v>
      </x:c>
      <x:c r="C39" s="10" t="s">
        <x:v>1794</x:v>
      </x:c>
      <x:c r="D39" s="10" t="s">
        <x:v>1921</x:v>
      </x:c>
      <x:c r="E39" s="10"/>
      <x:c r="F39" s="10"/>
      <x:c r="G39" s="10" t="s">
        <x:v>1796</x:v>
      </x:c>
      <x:c r="H39" s="10" t="s">
        <x:v>1797</x:v>
      </x:c>
      <x:c r="I39" s="10" t="s">
        <x:v>1124</x:v>
      </x:c>
      <x:c r="J39" s="10" t="s">
        <x:v>1922</x:v>
      </x:c>
      <x:c r="K39" s="10" t="s">
        <x:v>1123</x:v>
      </x:c>
      <x:c r="L39" s="10" t="s">
        <x:v>247</x:v>
      </x:c>
      <x:c r="M39" s="10" t="s">
        <x:v>1122</x:v>
      </x:c>
      <x:c r="N39" s="11" t="b">
        <x:v>1</x:v>
      </x:c>
      <x:c r="O39" s="10" t="s">
        <x:v>1923</x:v>
      </x:c>
      <x:c r="P39" s="16" t="s">
        <x:v>1126</x:v>
      </x:c>
    </x:row>
    <x:row r="40" ht="113.0999984741211" customHeight="1">
      <x:c r="A40" s="13" t="s">
        <x:v>1924</x:v>
      </x:c>
      <x:c r="B40" s="15" t="s">
        <x:v>252</x:v>
      </x:c>
      <x:c r="C40" s="7" t="s">
        <x:v>1794</x:v>
      </x:c>
      <x:c r="D40" s="7" t="s">
        <x:v>1925</x:v>
      </x:c>
      <x:c r="E40" s="7"/>
      <x:c r="F40" s="7"/>
      <x:c r="G40" s="7" t="s">
        <x:v>1796</x:v>
      </x:c>
      <x:c r="H40" s="7" t="s">
        <x:v>1797</x:v>
      </x:c>
      <x:c r="I40" s="7" t="s">
        <x:v>1130</x:v>
      </x:c>
      <x:c r="J40" s="7" t="s">
        <x:v>1926</x:v>
      </x:c>
      <x:c r="K40" s="7" t="s">
        <x:v>966</x:v>
      </x:c>
      <x:c r="L40" s="7" t="s">
        <x:v>1129</x:v>
      </x:c>
      <x:c r="M40" s="7" t="s">
        <x:v>1128</x:v>
      </x:c>
      <x:c r="N40" s="8" t="b">
        <x:v>1</x:v>
      </x:c>
      <x:c r="O40" s="7" t="s">
        <x:v>1927</x:v>
      </x:c>
      <x:c r="P40" s="15" t="s">
        <x:v>266</x:v>
      </x:c>
    </x:row>
    <x:row r="41" ht="126.4000015258789" customHeight="1">
      <x:c r="A41" s="14" t="s">
        <x:v>1928</x:v>
      </x:c>
      <x:c r="B41" s="16" t="s">
        <x:v>252</x:v>
      </x:c>
      <x:c r="C41" s="10" t="s">
        <x:v>1794</x:v>
      </x:c>
      <x:c r="D41" s="10" t="s">
        <x:v>1929</x:v>
      </x:c>
      <x:c r="E41" s="10"/>
      <x:c r="F41" s="10"/>
      <x:c r="G41" s="10" t="s">
        <x:v>1796</x:v>
      </x:c>
      <x:c r="H41" s="10" t="s">
        <x:v>1797</x:v>
      </x:c>
      <x:c r="I41" s="10" t="s">
        <x:v>1130</x:v>
      </x:c>
      <x:c r="J41" s="10" t="s">
        <x:v>1926</x:v>
      </x:c>
      <x:c r="K41" s="10" t="s">
        <x:v>966</x:v>
      </x:c>
      <x:c r="L41" s="10" t="s">
        <x:v>1135</x:v>
      </x:c>
      <x:c r="M41" s="10" t="s">
        <x:v>1134</x:v>
      </x:c>
      <x:c r="N41" s="11" t="b">
        <x:v>1</x:v>
      </x:c>
      <x:c r="O41" s="10" t="s">
        <x:v>1930</x:v>
      </x:c>
      <x:c r="P41" s="16" t="s">
        <x:v>266</x:v>
      </x:c>
    </x:row>
    <x:row r="42" ht="166.35000610351562" customHeight="1">
      <x:c r="A42" s="13" t="s">
        <x:v>1931</x:v>
      </x:c>
      <x:c r="B42" s="15" t="s">
        <x:v>267</x:v>
      </x:c>
      <x:c r="C42" s="7" t="s">
        <x:v>1794</x:v>
      </x:c>
      <x:c r="D42" s="7" t="s">
        <x:v>1932</x:v>
      </x:c>
      <x:c r="E42" s="7"/>
      <x:c r="F42" s="7"/>
      <x:c r="G42" s="7" t="s">
        <x:v>1796</x:v>
      </x:c>
      <x:c r="H42" s="7" t="s">
        <x:v>1797</x:v>
      </x:c>
      <x:c r="I42" s="7" t="s">
        <x:v>1141</x:v>
      </x:c>
      <x:c r="J42" s="7" t="s">
        <x:v>1933</x:v>
      </x:c>
      <x:c r="K42" s="7" t="s">
        <x:v>1139</x:v>
      </x:c>
      <x:c r="L42" s="7" t="s">
        <x:v>1140</x:v>
      </x:c>
      <x:c r="M42" s="7" t="s">
        <x:v>1138</x:v>
      </x:c>
      <x:c r="N42" s="8" t="b">
        <x:v>1</x:v>
      </x:c>
      <x:c r="O42" s="7" t="s">
        <x:v>1934</x:v>
      </x:c>
      <x:c r="P42" s="15" t="s">
        <x:v>280</x:v>
      </x:c>
    </x:row>
    <x:row r="43" ht="153" customHeight="1">
      <x:c r="A43" s="14" t="s">
        <x:v>1935</x:v>
      </x:c>
      <x:c r="B43" s="16" t="s">
        <x:v>281</x:v>
      </x:c>
      <x:c r="C43" s="10" t="s">
        <x:v>1794</x:v>
      </x:c>
      <x:c r="D43" s="10" t="s">
        <x:v>1936</x:v>
      </x:c>
      <x:c r="E43" s="10"/>
      <x:c r="F43" s="10"/>
      <x:c r="G43" s="10" t="s">
        <x:v>1796</x:v>
      </x:c>
      <x:c r="H43" s="10" t="s">
        <x:v>1797</x:v>
      </x:c>
      <x:c r="I43" s="10" t="s">
        <x:v>1145</x:v>
      </x:c>
      <x:c r="J43" s="10"/>
      <x:c r="K43" s="10" t="s">
        <x:v>966</x:v>
      </x:c>
      <x:c r="L43" s="10" t="s">
        <x:v>289</x:v>
      </x:c>
      <x:c r="M43" s="10" t="s">
        <x:v>1144</x:v>
      </x:c>
      <x:c r="N43" s="11" t="b">
        <x:v>1</x:v>
      </x:c>
      <x:c r="O43" s="10" t="s">
        <x:v>1937</x:v>
      </x:c>
      <x:c r="P43" s="16"/>
    </x:row>
    <x:row r="44" ht="126.4000015258789" customHeight="1">
      <x:c r="A44" s="13" t="s">
        <x:v>1938</x:v>
      </x:c>
      <x:c r="B44" s="15" t="s">
        <x:v>294</x:v>
      </x:c>
      <x:c r="C44" s="7" t="s">
        <x:v>1794</x:v>
      </x:c>
      <x:c r="D44" s="7" t="s">
        <x:v>1939</x:v>
      </x:c>
      <x:c r="E44" s="7"/>
      <x:c r="F44" s="7"/>
      <x:c r="G44" s="7" t="s">
        <x:v>1796</x:v>
      </x:c>
      <x:c r="H44" s="7" t="s">
        <x:v>1797</x:v>
      </x:c>
      <x:c r="I44" s="7" t="s">
        <x:v>1150</x:v>
      </x:c>
      <x:c r="J44" s="7" t="s">
        <x:v>1940</x:v>
      </x:c>
      <x:c r="K44" s="7" t="s">
        <x:v>1149</x:v>
      </x:c>
      <x:c r="L44" s="7" t="s">
        <x:v>303</x:v>
      </x:c>
      <x:c r="M44" s="7" t="s">
        <x:v>1148</x:v>
      </x:c>
      <x:c r="N44" s="8" t="b">
        <x:v>1</x:v>
      </x:c>
      <x:c r="O44" s="7" t="s">
        <x:v>1941</x:v>
      </x:c>
      <x:c r="P44" s="15" t="s">
        <x:v>306</x:v>
      </x:c>
    </x:row>
    <x:row r="45" ht="179.64999389648438" customHeight="1">
      <x:c r="A45" s="14" t="s">
        <x:v>1942</x:v>
      </x:c>
      <x:c r="B45" s="16" t="s">
        <x:v>307</x:v>
      </x:c>
      <x:c r="C45" s="10" t="s">
        <x:v>1794</x:v>
      </x:c>
      <x:c r="D45" s="10" t="s">
        <x:v>1943</x:v>
      </x:c>
      <x:c r="E45" s="10"/>
      <x:c r="F45" s="10"/>
      <x:c r="G45" s="10" t="s">
        <x:v>1796</x:v>
      </x:c>
      <x:c r="H45" s="10" t="s">
        <x:v>1797</x:v>
      </x:c>
      <x:c r="I45" s="10" t="s">
        <x:v>1155</x:v>
      </x:c>
      <x:c r="J45" s="10" t="s">
        <x:v>1944</x:v>
      </x:c>
      <x:c r="K45" s="10" t="s">
        <x:v>1154</x:v>
      </x:c>
      <x:c r="L45" s="10" t="s">
        <x:v>316</x:v>
      </x:c>
      <x:c r="M45" s="10" t="s">
        <x:v>1153</x:v>
      </x:c>
      <x:c r="N45" s="11" t="b">
        <x:v>1</x:v>
      </x:c>
      <x:c r="O45" s="10" t="s">
        <x:v>1945</x:v>
      </x:c>
      <x:c r="P45" s="16" t="s">
        <x:v>320</x:v>
      </x:c>
    </x:row>
    <x:row r="46" ht="139.6999969482422" customHeight="1">
      <x:c r="A46" s="13" t="s">
        <x:v>1946</x:v>
      </x:c>
      <x:c r="B46" s="15" t="s">
        <x:v>370</x:v>
      </x:c>
      <x:c r="C46" s="7" t="s">
        <x:v>1794</x:v>
      </x:c>
      <x:c r="D46" s="7" t="s">
        <x:v>1947</x:v>
      </x:c>
      <x:c r="E46" s="7"/>
      <x:c r="F46" s="7"/>
      <x:c r="G46" s="7" t="s">
        <x:v>1796</x:v>
      </x:c>
      <x:c r="H46" s="7" t="s">
        <x:v>1797</x:v>
      </x:c>
      <x:c r="I46" s="7" t="s">
        <x:v>1161</x:v>
      </x:c>
      <x:c r="J46" s="7"/>
      <x:c r="K46" s="7" t="s">
        <x:v>1159</x:v>
      </x:c>
      <x:c r="L46" s="7" t="s">
        <x:v>1160</x:v>
      </x:c>
      <x:c r="M46" s="7" t="s">
        <x:v>1158</x:v>
      </x:c>
      <x:c r="N46" s="8" t="b">
        <x:v>1</x:v>
      </x:c>
      <x:c r="O46" s="7" t="s">
        <x:v>1948</x:v>
      </x:c>
      <x:c r="P46" s="15" t="s">
        <x:v>383</x:v>
      </x:c>
    </x:row>
    <x:row r="47" ht="166.35000610351562" customHeight="1">
      <x:c r="A47" s="14" t="s">
        <x:v>1949</x:v>
      </x:c>
      <x:c r="B47" s="16" t="s">
        <x:v>370</x:v>
      </x:c>
      <x:c r="C47" s="10" t="s">
        <x:v>1794</x:v>
      </x:c>
      <x:c r="D47" s="10" t="s">
        <x:v>1950</x:v>
      </x:c>
      <x:c r="E47" s="10"/>
      <x:c r="F47" s="10"/>
      <x:c r="G47" s="10" t="s">
        <x:v>1796</x:v>
      </x:c>
      <x:c r="H47" s="10" t="s">
        <x:v>1797</x:v>
      </x:c>
      <x:c r="I47" s="10" t="s">
        <x:v>1161</x:v>
      </x:c>
      <x:c r="J47" s="10"/>
      <x:c r="K47" s="10" t="s">
        <x:v>1159</x:v>
      </x:c>
      <x:c r="L47" s="10" t="s">
        <x:v>1165</x:v>
      </x:c>
      <x:c r="M47" s="10" t="s">
        <x:v>1164</x:v>
      </x:c>
      <x:c r="N47" s="11" t="b">
        <x:v>1</x:v>
      </x:c>
      <x:c r="O47" s="10" t="s">
        <x:v>1951</x:v>
      </x:c>
      <x:c r="P47" s="16" t="s">
        <x:v>383</x:v>
      </x:c>
    </x:row>
    <x:row r="48" ht="179.64999389648438" customHeight="1">
      <x:c r="A48" s="13" t="s">
        <x:v>1952</x:v>
      </x:c>
      <x:c r="B48" s="15" t="s">
        <x:v>835</x:v>
      </x:c>
      <x:c r="C48" s="7" t="s">
        <x:v>1794</x:v>
      </x:c>
      <x:c r="D48" s="7" t="s">
        <x:v>1953</x:v>
      </x:c>
      <x:c r="E48" s="7"/>
      <x:c r="F48" s="7"/>
      <x:c r="G48" s="7" t="s">
        <x:v>1796</x:v>
      </x:c>
      <x:c r="H48" s="7" t="s">
        <x:v>1797</x:v>
      </x:c>
      <x:c r="I48" s="7" t="s">
        <x:v>1170</x:v>
      </x:c>
      <x:c r="J48" s="7"/>
      <x:c r="K48" s="7" t="s">
        <x:v>1169</x:v>
      </x:c>
      <x:c r="L48" s="7"/>
      <x:c r="M48" s="7" t="s">
        <x:v>1168</x:v>
      </x:c>
      <x:c r="N48" s="8" t="b">
        <x:v>1</x:v>
      </x:c>
      <x:c r="O48" s="7" t="s">
        <x:v>1954</x:v>
      </x:c>
      <x:c r="P48" s="15" t="s">
        <x:v>1172</x:v>
      </x:c>
    </x:row>
    <x:row r="49" ht="153" customHeight="1">
      <x:c r="A49" s="14" t="s">
        <x:v>1955</x:v>
      </x:c>
      <x:c r="B49" s="16" t="s">
        <x:v>835</x:v>
      </x:c>
      <x:c r="C49" s="10" t="s">
        <x:v>1794</x:v>
      </x:c>
      <x:c r="D49" s="10" t="s">
        <x:v>1956</x:v>
      </x:c>
      <x:c r="E49" s="10"/>
      <x:c r="F49" s="10"/>
      <x:c r="G49" s="10" t="s">
        <x:v>1796</x:v>
      </x:c>
      <x:c r="H49" s="10" t="s">
        <x:v>1797</x:v>
      </x:c>
      <x:c r="I49" s="10" t="s">
        <x:v>1170</x:v>
      </x:c>
      <x:c r="J49" s="10"/>
      <x:c r="K49" s="10" t="s">
        <x:v>1175</x:v>
      </x:c>
      <x:c r="L49" s="10"/>
      <x:c r="M49" s="10" t="s">
        <x:v>1174</x:v>
      </x:c>
      <x:c r="N49" s="11" t="b">
        <x:v>1</x:v>
      </x:c>
      <x:c r="O49" s="10" t="s">
        <x:v>1957</x:v>
      </x:c>
      <x:c r="P49" s="16" t="s">
        <x:v>1172</x:v>
      </x:c>
    </x:row>
    <x:row r="50" ht="153" customHeight="1">
      <x:c r="A50" s="13" t="s">
        <x:v>1958</x:v>
      </x:c>
      <x:c r="B50" s="15" t="s">
        <x:v>846</x:v>
      </x:c>
      <x:c r="C50" s="7" t="s">
        <x:v>1794</x:v>
      </x:c>
      <x:c r="D50" s="7" t="s">
        <x:v>1959</x:v>
      </x:c>
      <x:c r="E50" s="7"/>
      <x:c r="F50" s="7"/>
      <x:c r="G50" s="7" t="s">
        <x:v>1796</x:v>
      </x:c>
      <x:c r="H50" s="7" t="s">
        <x:v>1797</x:v>
      </x:c>
      <x:c r="I50" s="7" t="s">
        <x:v>1180</x:v>
      </x:c>
      <x:c r="J50" s="7" t="s">
        <x:v>1960</x:v>
      </x:c>
      <x:c r="K50" s="7" t="s">
        <x:v>1179</x:v>
      </x:c>
      <x:c r="L50" s="7"/>
      <x:c r="M50" s="7" t="s">
        <x:v>1178</x:v>
      </x:c>
      <x:c r="N50" s="8" t="b">
        <x:v>1</x:v>
      </x:c>
      <x:c r="O50" s="7" t="s">
        <x:v>1961</x:v>
      </x:c>
      <x:c r="P50" s="15" t="s">
        <x:v>860</x:v>
      </x:c>
    </x:row>
    <x:row r="51" ht="153" customHeight="1">
      <x:c r="A51" s="14" t="s">
        <x:v>1962</x:v>
      </x:c>
      <x:c r="B51" s="16" t="s">
        <x:v>846</x:v>
      </x:c>
      <x:c r="C51" s="10" t="s">
        <x:v>1794</x:v>
      </x:c>
      <x:c r="D51" s="10" t="s">
        <x:v>1963</x:v>
      </x:c>
      <x:c r="E51" s="10"/>
      <x:c r="F51" s="10"/>
      <x:c r="G51" s="10" t="s">
        <x:v>1796</x:v>
      </x:c>
      <x:c r="H51" s="10" t="s">
        <x:v>1797</x:v>
      </x:c>
      <x:c r="I51" s="10" t="s">
        <x:v>1180</x:v>
      </x:c>
      <x:c r="J51" s="10" t="s">
        <x:v>1960</x:v>
      </x:c>
      <x:c r="K51" s="10" t="s">
        <x:v>1185</x:v>
      </x:c>
      <x:c r="L51" s="10"/>
      <x:c r="M51" s="10" t="s">
        <x:v>1184</x:v>
      </x:c>
      <x:c r="N51" s="11" t="b">
        <x:v>1</x:v>
      </x:c>
      <x:c r="O51" s="10" t="s">
        <x:v>1964</x:v>
      </x:c>
      <x:c r="P51" s="16" t="s">
        <x:v>860</x:v>
      </x:c>
    </x:row>
    <x:row r="52" ht="139.6999969482422" customHeight="1">
      <x:c r="A52" s="13" t="s">
        <x:v>1965</x:v>
      </x:c>
      <x:c r="B52" s="15" t="s">
        <x:v>713</x:v>
      </x:c>
      <x:c r="C52" s="7" t="s">
        <x:v>1794</x:v>
      </x:c>
      <x:c r="D52" s="7" t="s">
        <x:v>1966</x:v>
      </x:c>
      <x:c r="E52" s="7"/>
      <x:c r="F52" s="7"/>
      <x:c r="G52" s="7" t="s">
        <x:v>1796</x:v>
      </x:c>
      <x:c r="H52" s="7" t="s">
        <x:v>1797</x:v>
      </x:c>
      <x:c r="I52" s="7" t="s">
        <x:v>1190</x:v>
      </x:c>
      <x:c r="J52" s="7"/>
      <x:c r="K52" s="7" t="s">
        <x:v>1189</x:v>
      </x:c>
      <x:c r="L52" s="7"/>
      <x:c r="M52" s="7" t="s">
        <x:v>1188</x:v>
      </x:c>
      <x:c r="N52" s="8" t="b">
        <x:v>1</x:v>
      </x:c>
      <x:c r="O52" s="7" t="s">
        <x:v>1967</x:v>
      </x:c>
      <x:c r="P52" s="15" t="s">
        <x:v>1192</x:v>
      </x:c>
    </x:row>
    <x:row r="53" ht="46.599998474121094" customHeight="1">
      <x:c r="A53" s="14" t="s">
        <x:v>1968</x:v>
      </x:c>
      <x:c r="B53" s="16" t="s">
        <x:v>114</x:v>
      </x:c>
      <x:c r="C53" s="10" t="s">
        <x:v>1969</x:v>
      </x:c>
      <x:c r="D53" s="10" t="s">
        <x:v>1970</x:v>
      </x:c>
      <x:c r="E53" s="10"/>
      <x:c r="F53" s="10"/>
      <x:c r="G53" s="10" t="s">
        <x:v>1796</x:v>
      </x:c>
      <x:c r="H53" s="10" t="s">
        <x:v>1797</x:v>
      </x:c>
      <x:c r="I53" s="10" t="s">
        <x:v>1209</x:v>
      </x:c>
      <x:c r="J53" s="10" t="s">
        <x:v>1971</x:v>
      </x:c>
      <x:c r="K53" s="10" t="s">
        <x:v>1207</x:v>
      </x:c>
      <x:c r="L53" s="10" t="s">
        <x:v>1208</x:v>
      </x:c>
      <x:c r="M53" s="10" t="s">
        <x:v>1206</x:v>
      </x:c>
      <x:c r="N53" s="11" t="b">
        <x:v>1</x:v>
      </x:c>
      <x:c r="O53" s="10" t="s">
        <x:v>1972</x:v>
      </x:c>
      <x:c r="P53" s="16" t="s">
        <x:v>1210</x:v>
      </x:c>
    </x:row>
    <x:row r="54" ht="59.95000076293945" customHeight="1">
      <x:c r="A54" s="13" t="s">
        <x:v>1973</x:v>
      </x:c>
      <x:c r="B54" s="15" t="s">
        <x:v>114</x:v>
      </x:c>
      <x:c r="C54" s="7" t="s">
        <x:v>1969</x:v>
      </x:c>
      <x:c r="D54" s="7" t="s">
        <x:v>1974</x:v>
      </x:c>
      <x:c r="E54" s="7">
        <x:v>0.36</x:v>
      </x:c>
      <x:c r="F54" s="7" t="s">
        <x:v>1975</x:v>
      </x:c>
      <x:c r="G54" s="7" t="s">
        <x:v>1796</x:v>
      </x:c>
      <x:c r="H54" s="7" t="s">
        <x:v>1797</x:v>
      </x:c>
      <x:c r="I54" s="7" t="s">
        <x:v>1219</x:v>
      </x:c>
      <x:c r="J54" s="7"/>
      <x:c r="K54" s="7" t="s">
        <x:v>1218</x:v>
      </x:c>
      <x:c r="L54" s="7" t="s">
        <x:v>1208</x:v>
      </x:c>
      <x:c r="M54" s="7" t="s">
        <x:v>1217</x:v>
      </x:c>
      <x:c r="N54" s="8" t="b">
        <x:v>1</x:v>
      </x:c>
      <x:c r="O54" s="7" t="s">
        <x:v>1976</x:v>
      </x:c>
      <x:c r="P54" s="15" t="s">
        <x:v>1220</x:v>
      </x:c>
    </x:row>
    <x:row r="55" ht="59.95000076293945" customHeight="1">
      <x:c r="A55" s="14" t="s">
        <x:v>1977</x:v>
      </x:c>
      <x:c r="B55" s="16" t="s">
        <x:v>114</x:v>
      </x:c>
      <x:c r="C55" s="10" t="s">
        <x:v>1969</x:v>
      </x:c>
      <x:c r="D55" s="10" t="s">
        <x:v>1978</x:v>
      </x:c>
      <x:c r="E55" s="10">
        <x:v>0.64</x:v>
      </x:c>
      <x:c r="F55" s="10" t="s">
        <x:v>1975</x:v>
      </x:c>
      <x:c r="G55" s="10" t="s">
        <x:v>1796</x:v>
      </x:c>
      <x:c r="H55" s="10" t="s">
        <x:v>1797</x:v>
      </x:c>
      <x:c r="I55" s="10" t="s">
        <x:v>1219</x:v>
      </x:c>
      <x:c r="J55" s="10"/>
      <x:c r="K55" s="10" t="s">
        <x:v>1225</x:v>
      </x:c>
      <x:c r="L55" s="10" t="s">
        <x:v>1208</x:v>
      </x:c>
      <x:c r="M55" s="10" t="s">
        <x:v>1217</x:v>
      </x:c>
      <x:c r="N55" s="11" t="b">
        <x:v>1</x:v>
      </x:c>
      <x:c r="O55" s="10" t="s">
        <x:v>1979</x:v>
      </x:c>
      <x:c r="P55" s="16" t="s">
        <x:v>1220</x:v>
      </x:c>
    </x:row>
    <x:row r="56" ht="73.1500015258789" customHeight="1">
      <x:c r="A56" s="13" t="s">
        <x:v>1980</x:v>
      </x:c>
      <x:c r="B56" s="15" t="s">
        <x:v>114</x:v>
      </x:c>
      <x:c r="C56" s="7" t="s">
        <x:v>1969</x:v>
      </x:c>
      <x:c r="D56" s="7" t="s">
        <x:v>1981</x:v>
      </x:c>
      <x:c r="E56" s="7"/>
      <x:c r="F56" s="7"/>
      <x:c r="G56" s="7" t="s">
        <x:v>1796</x:v>
      </x:c>
      <x:c r="H56" s="7" t="s">
        <x:v>1797</x:v>
      </x:c>
      <x:c r="I56" s="7" t="s">
        <x:v>918</x:v>
      </x:c>
      <x:c r="J56" s="7" t="s">
        <x:v>1804</x:v>
      </x:c>
      <x:c r="K56" s="7" t="s">
        <x:v>902</x:v>
      </x:c>
      <x:c r="L56" s="7" t="s">
        <x:v>917</x:v>
      </x:c>
      <x:c r="M56" s="7" t="s">
        <x:v>1227</x:v>
      </x:c>
      <x:c r="N56" s="8" t="b">
        <x:v>1</x:v>
      </x:c>
      <x:c r="O56" s="7" t="s">
        <x:v>1982</x:v>
      </x:c>
      <x:c r="P56" s="15" t="s">
        <x:v>920</x:v>
      </x:c>
    </x:row>
    <x:row r="57" ht="73.1500015258789" customHeight="1">
      <x:c r="A57" s="14" t="s">
        <x:v>1983</x:v>
      </x:c>
      <x:c r="B57" s="16" t="s">
        <x:v>114</x:v>
      </x:c>
      <x:c r="C57" s="10" t="s">
        <x:v>1969</x:v>
      </x:c>
      <x:c r="D57" s="10" t="s">
        <x:v>1984</x:v>
      </x:c>
      <x:c r="E57" s="10">
        <x:v>0.5</x:v>
      </x:c>
      <x:c r="F57" s="10" t="s">
        <x:v>1975</x:v>
      </x:c>
      <x:c r="G57" s="10" t="s">
        <x:v>1796</x:v>
      </x:c>
      <x:c r="H57" s="10" t="s">
        <x:v>1797</x:v>
      </x:c>
      <x:c r="I57" s="10" t="s">
        <x:v>918</x:v>
      </x:c>
      <x:c r="J57" s="10" t="s">
        <x:v>1804</x:v>
      </x:c>
      <x:c r="K57" s="10" t="s">
        <x:v>1230</x:v>
      </x:c>
      <x:c r="L57" s="10" t="s">
        <x:v>917</x:v>
      </x:c>
      <x:c r="M57" s="10" t="s">
        <x:v>1227</x:v>
      </x:c>
      <x:c r="N57" s="11" t="b">
        <x:v>1</x:v>
      </x:c>
      <x:c r="O57" s="10" t="s">
        <x:v>1985</x:v>
      </x:c>
      <x:c r="P57" s="16" t="s">
        <x:v>920</x:v>
      </x:c>
    </x:row>
    <x:row r="58" ht="73.1500015258789" customHeight="1">
      <x:c r="A58" s="13" t="s">
        <x:v>1986</x:v>
      </x:c>
      <x:c r="B58" s="15" t="s">
        <x:v>114</x:v>
      </x:c>
      <x:c r="C58" s="7" t="s">
        <x:v>1969</x:v>
      </x:c>
      <x:c r="D58" s="7" t="s">
        <x:v>1987</x:v>
      </x:c>
      <x:c r="E58" s="7">
        <x:v>0.7</x:v>
      </x:c>
      <x:c r="F58" s="7" t="s">
        <x:v>1975</x:v>
      </x:c>
      <x:c r="G58" s="7" t="s">
        <x:v>1796</x:v>
      </x:c>
      <x:c r="H58" s="7" t="s">
        <x:v>1797</x:v>
      </x:c>
      <x:c r="I58" s="7" t="s">
        <x:v>918</x:v>
      </x:c>
      <x:c r="J58" s="7" t="s">
        <x:v>1804</x:v>
      </x:c>
      <x:c r="K58" s="7" t="s">
        <x:v>1230</x:v>
      </x:c>
      <x:c r="L58" s="7" t="s">
        <x:v>917</x:v>
      </x:c>
      <x:c r="M58" s="7" t="s">
        <x:v>1227</x:v>
      </x:c>
      <x:c r="N58" s="8" t="b">
        <x:v>1</x:v>
      </x:c>
      <x:c r="O58" s="7" t="s">
        <x:v>1988</x:v>
      </x:c>
      <x:c r="P58" s="15" t="s">
        <x:v>920</x:v>
      </x:c>
    </x:row>
    <x:row r="59" ht="86.55000305175781" customHeight="1">
      <x:c r="A59" s="14" t="s">
        <x:v>1989</x:v>
      </x:c>
      <x:c r="B59" s="16" t="s">
        <x:v>114</x:v>
      </x:c>
      <x:c r="C59" s="10" t="s">
        <x:v>1969</x:v>
      </x:c>
      <x:c r="D59" s="10" t="s">
        <x:v>1990</x:v>
      </x:c>
      <x:c r="E59" s="10"/>
      <x:c r="F59" s="10"/>
      <x:c r="G59" s="10" t="s">
        <x:v>1796</x:v>
      </x:c>
      <x:c r="H59" s="10" t="s">
        <x:v>1797</x:v>
      </x:c>
      <x:c r="I59" s="10" t="s">
        <x:v>929</x:v>
      </x:c>
      <x:c r="J59" s="10" t="s">
        <x:v>1808</x:v>
      </x:c>
      <x:c r="K59" s="10" t="s">
        <x:v>902</x:v>
      </x:c>
      <x:c r="L59" s="10" t="s">
        <x:v>937</x:v>
      </x:c>
      <x:c r="M59" s="10" t="s">
        <x:v>1237</x:v>
      </x:c>
      <x:c r="N59" s="11" t="b">
        <x:v>1</x:v>
      </x:c>
      <x:c r="O59" s="10" t="s">
        <x:v>1991</x:v>
      </x:c>
      <x:c r="P59" s="16" t="s">
        <x:v>931</x:v>
      </x:c>
    </x:row>
    <x:row r="60" ht="86.55000305175781" customHeight="1">
      <x:c r="A60" s="13" t="s">
        <x:v>1992</x:v>
      </x:c>
      <x:c r="B60" s="15" t="s">
        <x:v>114</x:v>
      </x:c>
      <x:c r="C60" s="7" t="s">
        <x:v>1969</x:v>
      </x:c>
      <x:c r="D60" s="7" t="s">
        <x:v>1993</x:v>
      </x:c>
      <x:c r="E60" s="7"/>
      <x:c r="F60" s="7"/>
      <x:c r="G60" s="7" t="s">
        <x:v>1796</x:v>
      </x:c>
      <x:c r="H60" s="7" t="s">
        <x:v>1797</x:v>
      </x:c>
      <x:c r="I60" s="7" t="s">
        <x:v>944</x:v>
      </x:c>
      <x:c r="J60" s="7" t="s">
        <x:v>1815</x:v>
      </x:c>
      <x:c r="K60" s="7" t="s">
        <x:v>1241</x:v>
      </x:c>
      <x:c r="L60" s="7" t="s">
        <x:v>949</x:v>
      </x:c>
      <x:c r="M60" s="7" t="s">
        <x:v>948</x:v>
      </x:c>
      <x:c r="N60" s="8" t="b">
        <x:v>1</x:v>
      </x:c>
      <x:c r="O60" s="7" t="s">
        <x:v>1994</x:v>
      </x:c>
      <x:c r="P60" s="15" t="s">
        <x:v>946</x:v>
      </x:c>
    </x:row>
    <x:row r="61" ht="86.55000305175781" customHeight="1">
      <x:c r="A61" s="14" t="s">
        <x:v>1995</x:v>
      </x:c>
      <x:c r="B61" s="16" t="s">
        <x:v>114</x:v>
      </x:c>
      <x:c r="C61" s="10" t="s">
        <x:v>1969</x:v>
      </x:c>
      <x:c r="D61" s="10" t="s">
        <x:v>1996</x:v>
      </x:c>
      <x:c r="E61" s="10">
        <x:v>1.26</x:v>
      </x:c>
      <x:c r="F61" s="10" t="s">
        <x:v>1975</x:v>
      </x:c>
      <x:c r="G61" s="10" t="s">
        <x:v>1796</x:v>
      </x:c>
      <x:c r="H61" s="10" t="s">
        <x:v>1797</x:v>
      </x:c>
      <x:c r="I61" s="10" t="s">
        <x:v>944</x:v>
      </x:c>
      <x:c r="J61" s="10" t="s">
        <x:v>1815</x:v>
      </x:c>
      <x:c r="K61" s="10" t="s">
        <x:v>1241</x:v>
      </x:c>
      <x:c r="L61" s="10" t="s">
        <x:v>949</x:v>
      </x:c>
      <x:c r="M61" s="10" t="s">
        <x:v>948</x:v>
      </x:c>
      <x:c r="N61" s="11" t="b">
        <x:v>1</x:v>
      </x:c>
      <x:c r="O61" s="10" t="s">
        <x:v>1997</x:v>
      </x:c>
      <x:c r="P61" s="16" t="s">
        <x:v>946</x:v>
      </x:c>
    </x:row>
    <x:row r="62" ht="86.55000305175781" customHeight="1">
      <x:c r="A62" s="13" t="s">
        <x:v>1998</x:v>
      </x:c>
      <x:c r="B62" s="15" t="s">
        <x:v>114</x:v>
      </x:c>
      <x:c r="C62" s="7" t="s">
        <x:v>1969</x:v>
      </x:c>
      <x:c r="D62" s="7" t="s">
        <x:v>1999</x:v>
      </x:c>
      <x:c r="E62" s="7"/>
      <x:c r="F62" s="7"/>
      <x:c r="G62" s="7" t="s">
        <x:v>1796</x:v>
      </x:c>
      <x:c r="H62" s="7" t="s">
        <x:v>1797</x:v>
      </x:c>
      <x:c r="I62" s="7" t="s">
        <x:v>944</x:v>
      </x:c>
      <x:c r="J62" s="7" t="s">
        <x:v>1815</x:v>
      </x:c>
      <x:c r="K62" s="7" t="s">
        <x:v>1241</x:v>
      </x:c>
      <x:c r="L62" s="7" t="s">
        <x:v>952</x:v>
      </x:c>
      <x:c r="M62" s="7" t="s">
        <x:v>948</x:v>
      </x:c>
      <x:c r="N62" s="8" t="b">
        <x:v>1</x:v>
      </x:c>
      <x:c r="O62" s="7" t="s">
        <x:v>2000</x:v>
      </x:c>
      <x:c r="P62" s="15" t="s">
        <x:v>946</x:v>
      </x:c>
    </x:row>
    <x:row r="63" ht="86.55000305175781" customHeight="1">
      <x:c r="A63" s="14" t="s">
        <x:v>2001</x:v>
      </x:c>
      <x:c r="B63" s="16" t="s">
        <x:v>114</x:v>
      </x:c>
      <x:c r="C63" s="10" t="s">
        <x:v>1969</x:v>
      </x:c>
      <x:c r="D63" s="10" t="s">
        <x:v>2002</x:v>
      </x:c>
      <x:c r="E63" s="10">
        <x:v>1.36</x:v>
      </x:c>
      <x:c r="F63" s="10" t="s">
        <x:v>1975</x:v>
      </x:c>
      <x:c r="G63" s="10" t="s">
        <x:v>1796</x:v>
      </x:c>
      <x:c r="H63" s="10" t="s">
        <x:v>1797</x:v>
      </x:c>
      <x:c r="I63" s="10" t="s">
        <x:v>944</x:v>
      </x:c>
      <x:c r="J63" s="10" t="s">
        <x:v>1815</x:v>
      </x:c>
      <x:c r="K63" s="10" t="s">
        <x:v>1241</x:v>
      </x:c>
      <x:c r="L63" s="10" t="s">
        <x:v>952</x:v>
      </x:c>
      <x:c r="M63" s="10" t="s">
        <x:v>948</x:v>
      </x:c>
      <x:c r="N63" s="11" t="b">
        <x:v>1</x:v>
      </x:c>
      <x:c r="O63" s="10" t="s">
        <x:v>2003</x:v>
      </x:c>
      <x:c r="P63" s="16" t="s">
        <x:v>946</x:v>
      </x:c>
    </x:row>
    <x:row r="64" ht="73.1500015258789" customHeight="1">
      <x:c r="A64" s="13" t="s">
        <x:v>2004</x:v>
      </x:c>
      <x:c r="B64" s="15" t="s">
        <x:v>135</x:v>
      </x:c>
      <x:c r="C64" s="7" t="s">
        <x:v>1969</x:v>
      </x:c>
      <x:c r="D64" s="7" t="s">
        <x:v>2005</x:v>
      </x:c>
      <x:c r="E64" s="7">
        <x:v>0.28999999999999998</x:v>
      </x:c>
      <x:c r="F64" s="7" t="s">
        <x:v>1975</x:v>
      </x:c>
      <x:c r="G64" s="7" t="s">
        <x:v>1796</x:v>
      </x:c>
      <x:c r="H64" s="7" t="s">
        <x:v>1797</x:v>
      </x:c>
      <x:c r="I64" s="7" t="s">
        <x:v>1254</x:v>
      </x:c>
      <x:c r="J64" s="7"/>
      <x:c r="K64" s="7" t="s">
        <x:v>1252</x:v>
      </x:c>
      <x:c r="L64" s="7" t="s">
        <x:v>1253</x:v>
      </x:c>
      <x:c r="M64" s="7" t="s">
        <x:v>1251</x:v>
      </x:c>
      <x:c r="N64" s="8" t="b">
        <x:v>1</x:v>
      </x:c>
      <x:c r="O64" s="7" t="s">
        <x:v>2006</x:v>
      </x:c>
      <x:c r="P64" s="15" t="s">
        <x:v>1255</x:v>
      </x:c>
    </x:row>
    <x:row r="65" ht="86.55000305175781" customHeight="1">
      <x:c r="A65" s="14" t="s">
        <x:v>2007</x:v>
      </x:c>
      <x:c r="B65" s="16" t="s">
        <x:v>135</x:v>
      </x:c>
      <x:c r="C65" s="10" t="s">
        <x:v>1969</x:v>
      </x:c>
      <x:c r="D65" s="10" t="s">
        <x:v>2008</x:v>
      </x:c>
      <x:c r="E65" s="10">
        <x:v>0.35</x:v>
      </x:c>
      <x:c r="F65" s="10" t="s">
        <x:v>1975</x:v>
      </x:c>
      <x:c r="G65" s="10" t="s">
        <x:v>1796</x:v>
      </x:c>
      <x:c r="H65" s="10" t="s">
        <x:v>1797</x:v>
      </x:c>
      <x:c r="I65" s="10" t="s">
        <x:v>975</x:v>
      </x:c>
      <x:c r="J65" s="10" t="s">
        <x:v>1832</x:v>
      </x:c>
      <x:c r="K65" s="10" t="s">
        <x:v>1258</x:v>
      </x:c>
      <x:c r="L65" s="10" t="s">
        <x:v>980</x:v>
      </x:c>
      <x:c r="M65" s="10" t="s">
        <x:v>942</x:v>
      </x:c>
      <x:c r="N65" s="11" t="b">
        <x:v>1</x:v>
      </x:c>
      <x:c r="O65" s="10" t="s">
        <x:v>2009</x:v>
      </x:c>
      <x:c r="P65" s="16" t="s">
        <x:v>977</x:v>
      </x:c>
    </x:row>
    <x:row r="66" ht="86.55000305175781" customHeight="1">
      <x:c r="A66" s="13" t="s">
        <x:v>2010</x:v>
      </x:c>
      <x:c r="B66" s="15" t="s">
        <x:v>135</x:v>
      </x:c>
      <x:c r="C66" s="7" t="s">
        <x:v>1969</x:v>
      </x:c>
      <x:c r="D66" s="7" t="s">
        <x:v>2011</x:v>
      </x:c>
      <x:c r="E66" s="7">
        <x:v>0.4</x:v>
      </x:c>
      <x:c r="F66" s="7" t="s">
        <x:v>1975</x:v>
      </x:c>
      <x:c r="G66" s="7" t="s">
        <x:v>1796</x:v>
      </x:c>
      <x:c r="H66" s="7" t="s">
        <x:v>1797</x:v>
      </x:c>
      <x:c r="I66" s="7" t="s">
        <x:v>975</x:v>
      </x:c>
      <x:c r="J66" s="7" t="s">
        <x:v>1832</x:v>
      </x:c>
      <x:c r="K66" s="7" t="s">
        <x:v>1258</x:v>
      </x:c>
      <x:c r="L66" s="7" t="s">
        <x:v>974</x:v>
      </x:c>
      <x:c r="M66" s="7" t="s">
        <x:v>942</x:v>
      </x:c>
      <x:c r="N66" s="8" t="b">
        <x:v>1</x:v>
      </x:c>
      <x:c r="O66" s="7" t="s">
        <x:v>2012</x:v>
      </x:c>
      <x:c r="P66" s="15" t="s">
        <x:v>977</x:v>
      </x:c>
    </x:row>
    <x:row r="67" ht="86.55000305175781" customHeight="1">
      <x:c r="A67" s="14" t="s">
        <x:v>2013</x:v>
      </x:c>
      <x:c r="B67" s="16" t="s">
        <x:v>135</x:v>
      </x:c>
      <x:c r="C67" s="10" t="s">
        <x:v>1969</x:v>
      </x:c>
      <x:c r="D67" s="10" t="s">
        <x:v>2014</x:v>
      </x:c>
      <x:c r="E67" s="10">
        <x:v>0.55000000000000004</x:v>
      </x:c>
      <x:c r="F67" s="10" t="s">
        <x:v>1975</x:v>
      </x:c>
      <x:c r="G67" s="10" t="s">
        <x:v>1796</x:v>
      </x:c>
      <x:c r="H67" s="10" t="s">
        <x:v>1797</x:v>
      </x:c>
      <x:c r="I67" s="10" t="s">
        <x:v>975</x:v>
      </x:c>
      <x:c r="J67" s="10" t="s">
        <x:v>1832</x:v>
      </x:c>
      <x:c r="K67" s="10" t="s">
        <x:v>1258</x:v>
      </x:c>
      <x:c r="L67" s="10" t="s">
        <x:v>984</x:v>
      </x:c>
      <x:c r="M67" s="10" t="s">
        <x:v>942</x:v>
      </x:c>
      <x:c r="N67" s="11" t="b">
        <x:v>1</x:v>
      </x:c>
      <x:c r="O67" s="10" t="s">
        <x:v>2015</x:v>
      </x:c>
      <x:c r="P67" s="16" t="s">
        <x:v>977</x:v>
      </x:c>
    </x:row>
    <x:row r="68" ht="86.55000305175781" customHeight="1">
      <x:c r="A68" s="13" t="s">
        <x:v>2016</x:v>
      </x:c>
      <x:c r="B68" s="15" t="s">
        <x:v>135</x:v>
      </x:c>
      <x:c r="C68" s="7" t="s">
        <x:v>1969</x:v>
      </x:c>
      <x:c r="D68" s="7" t="s">
        <x:v>2017</x:v>
      </x:c>
      <x:c r="E68" s="7">
        <x:v>1.07</x:v>
      </x:c>
      <x:c r="F68" s="7" t="s">
        <x:v>1975</x:v>
      </x:c>
      <x:c r="G68" s="7" t="s">
        <x:v>1796</x:v>
      </x:c>
      <x:c r="H68" s="7" t="s">
        <x:v>1797</x:v>
      </x:c>
      <x:c r="I68" s="7" t="s">
        <x:v>975</x:v>
      </x:c>
      <x:c r="J68" s="7" t="s">
        <x:v>1832</x:v>
      </x:c>
      <x:c r="K68" s="7" t="s">
        <x:v>1258</x:v>
      </x:c>
      <x:c r="L68" s="7" t="s">
        <x:v>988</x:v>
      </x:c>
      <x:c r="M68" s="7" t="s">
        <x:v>942</x:v>
      </x:c>
      <x:c r="N68" s="8" t="b">
        <x:v>1</x:v>
      </x:c>
      <x:c r="O68" s="7" t="s">
        <x:v>2018</x:v>
      </x:c>
      <x:c r="P68" s="15" t="s">
        <x:v>977</x:v>
      </x:c>
    </x:row>
    <x:row r="69" ht="86.55000305175781" customHeight="1">
      <x:c r="A69" s="14" t="s">
        <x:v>2019</x:v>
      </x:c>
      <x:c r="B69" s="16" t="s">
        <x:v>135</x:v>
      </x:c>
      <x:c r="C69" s="10" t="s">
        <x:v>1969</x:v>
      </x:c>
      <x:c r="D69" s="10" t="s">
        <x:v>2020</x:v>
      </x:c>
      <x:c r="E69" s="10">
        <x:v>1.01</x:v>
      </x:c>
      <x:c r="F69" s="10" t="s">
        <x:v>1975</x:v>
      </x:c>
      <x:c r="G69" s="10" t="s">
        <x:v>1796</x:v>
      </x:c>
      <x:c r="H69" s="10" t="s">
        <x:v>1797</x:v>
      </x:c>
      <x:c r="I69" s="10" t="s">
        <x:v>975</x:v>
      </x:c>
      <x:c r="J69" s="10" t="s">
        <x:v>1832</x:v>
      </x:c>
      <x:c r="K69" s="10" t="s">
        <x:v>1258</x:v>
      </x:c>
      <x:c r="L69" s="10" t="s">
        <x:v>996</x:v>
      </x:c>
      <x:c r="M69" s="10" t="s">
        <x:v>942</x:v>
      </x:c>
      <x:c r="N69" s="11" t="b">
        <x:v>1</x:v>
      </x:c>
      <x:c r="O69" s="10" t="s">
        <x:v>2021</x:v>
      </x:c>
      <x:c r="P69" s="16" t="s">
        <x:v>977</x:v>
      </x:c>
    </x:row>
    <x:row r="70" ht="86.55000305175781" customHeight="1">
      <x:c r="A70" s="13" t="s">
        <x:v>2022</x:v>
      </x:c>
      <x:c r="B70" s="15" t="s">
        <x:v>135</x:v>
      </x:c>
      <x:c r="C70" s="7" t="s">
        <x:v>1969</x:v>
      </x:c>
      <x:c r="D70" s="7" t="s">
        <x:v>2023</x:v>
      </x:c>
      <x:c r="E70" s="7">
        <x:v>0.67</x:v>
      </x:c>
      <x:c r="F70" s="7" t="s">
        <x:v>1975</x:v>
      </x:c>
      <x:c r="G70" s="7" t="s">
        <x:v>1796</x:v>
      </x:c>
      <x:c r="H70" s="7" t="s">
        <x:v>1797</x:v>
      </x:c>
      <x:c r="I70" s="7" t="s">
        <x:v>975</x:v>
      </x:c>
      <x:c r="J70" s="7" t="s">
        <x:v>1832</x:v>
      </x:c>
      <x:c r="K70" s="7" t="s">
        <x:v>1258</x:v>
      </x:c>
      <x:c r="L70" s="7" t="s">
        <x:v>992</x:v>
      </x:c>
      <x:c r="M70" s="7" t="s">
        <x:v>942</x:v>
      </x:c>
      <x:c r="N70" s="8" t="b">
        <x:v>1</x:v>
      </x:c>
      <x:c r="O70" s="7" t="s">
        <x:v>2024</x:v>
      </x:c>
      <x:c r="P70" s="15" t="s">
        <x:v>977</x:v>
      </x:c>
    </x:row>
    <x:row r="71" ht="86.55000305175781" customHeight="1">
      <x:c r="A71" s="14" t="s">
        <x:v>2025</x:v>
      </x:c>
      <x:c r="B71" s="16" t="s">
        <x:v>135</x:v>
      </x:c>
      <x:c r="C71" s="10" t="s">
        <x:v>1969</x:v>
      </x:c>
      <x:c r="D71" s="10" t="s">
        <x:v>2026</x:v>
      </x:c>
      <x:c r="E71" s="10">
        <x:v>1.1299999999999999</x:v>
      </x:c>
      <x:c r="F71" s="10" t="s">
        <x:v>1975</x:v>
      </x:c>
      <x:c r="G71" s="10" t="s">
        <x:v>1796</x:v>
      </x:c>
      <x:c r="H71" s="10" t="s">
        <x:v>1797</x:v>
      </x:c>
      <x:c r="I71" s="10" t="s">
        <x:v>975</x:v>
      </x:c>
      <x:c r="J71" s="10" t="s">
        <x:v>1832</x:v>
      </x:c>
      <x:c r="K71" s="10" t="s">
        <x:v>1258</x:v>
      </x:c>
      <x:c r="L71" s="10" t="s">
        <x:v>1272</x:v>
      </x:c>
      <x:c r="M71" s="10" t="s">
        <x:v>942</x:v>
      </x:c>
      <x:c r="N71" s="11" t="b">
        <x:v>1</x:v>
      </x:c>
      <x:c r="O71" s="10" t="s">
        <x:v>2027</x:v>
      </x:c>
      <x:c r="P71" s="16" t="s">
        <x:v>977</x:v>
      </x:c>
    </x:row>
    <x:row r="72" ht="86.55000305175781" customHeight="1">
      <x:c r="A72" s="13" t="s">
        <x:v>2028</x:v>
      </x:c>
      <x:c r="B72" s="15" t="s">
        <x:v>135</x:v>
      </x:c>
      <x:c r="C72" s="7" t="s">
        <x:v>1969</x:v>
      </x:c>
      <x:c r="D72" s="7" t="s">
        <x:v>2029</x:v>
      </x:c>
      <x:c r="E72" s="7">
        <x:v>0.48</x:v>
      </x:c>
      <x:c r="F72" s="7" t="s">
        <x:v>1975</x:v>
      </x:c>
      <x:c r="G72" s="7" t="s">
        <x:v>1796</x:v>
      </x:c>
      <x:c r="H72" s="7" t="s">
        <x:v>1797</x:v>
      </x:c>
      <x:c r="I72" s="7" t="s">
        <x:v>1277</x:v>
      </x:c>
      <x:c r="J72" s="7" t="s">
        <x:v>1828</x:v>
      </x:c>
      <x:c r="K72" s="7" t="s">
        <x:v>1275</x:v>
      </x:c>
      <x:c r="L72" s="7" t="s">
        <x:v>1276</x:v>
      </x:c>
      <x:c r="M72" s="7" t="s">
        <x:v>1045</x:v>
      </x:c>
      <x:c r="N72" s="8" t="b">
        <x:v>1</x:v>
      </x:c>
      <x:c r="O72" s="7" t="s">
        <x:v>2030</x:v>
      </x:c>
      <x:c r="P72" s="15" t="s">
        <x:v>970</x:v>
      </x:c>
    </x:row>
    <x:row r="73" ht="86.55000305175781" customHeight="1">
      <x:c r="A73" s="14" t="s">
        <x:v>2031</x:v>
      </x:c>
      <x:c r="B73" s="16" t="s">
        <x:v>135</x:v>
      </x:c>
      <x:c r="C73" s="10" t="s">
        <x:v>1969</x:v>
      </x:c>
      <x:c r="D73" s="10" t="s">
        <x:v>2032</x:v>
      </x:c>
      <x:c r="E73" s="10">
        <x:v>0.57999999999999996</x:v>
      </x:c>
      <x:c r="F73" s="10" t="s">
        <x:v>1975</x:v>
      </x:c>
      <x:c r="G73" s="10" t="s">
        <x:v>1796</x:v>
      </x:c>
      <x:c r="H73" s="10" t="s">
        <x:v>1797</x:v>
      </x:c>
      <x:c r="I73" s="10" t="s">
        <x:v>1277</x:v>
      </x:c>
      <x:c r="J73" s="10" t="s">
        <x:v>1828</x:v>
      </x:c>
      <x:c r="K73" s="10" t="s">
        <x:v>1275</x:v>
      </x:c>
      <x:c r="L73" s="10" t="s">
        <x:v>1276</x:v>
      </x:c>
      <x:c r="M73" s="10" t="s">
        <x:v>1045</x:v>
      </x:c>
      <x:c r="N73" s="11" t="b">
        <x:v>1</x:v>
      </x:c>
      <x:c r="O73" s="10" t="s">
        <x:v>2033</x:v>
      </x:c>
      <x:c r="P73" s="16" t="s">
        <x:v>970</x:v>
      </x:c>
    </x:row>
    <x:row r="74" ht="86.55000305175781" customHeight="1">
      <x:c r="A74" s="13" t="s">
        <x:v>2034</x:v>
      </x:c>
      <x:c r="B74" s="15" t="s">
        <x:v>135</x:v>
      </x:c>
      <x:c r="C74" s="7" t="s">
        <x:v>1969</x:v>
      </x:c>
      <x:c r="D74" s="7" t="s">
        <x:v>2035</x:v>
      </x:c>
      <x:c r="E74" s="7">
        <x:v>0.4</x:v>
      </x:c>
      <x:c r="F74" s="7" t="s">
        <x:v>1975</x:v>
      </x:c>
      <x:c r="G74" s="7" t="s">
        <x:v>1796</x:v>
      </x:c>
      <x:c r="H74" s="7" t="s">
        <x:v>1797</x:v>
      </x:c>
      <x:c r="I74" s="7" t="s">
        <x:v>1277</x:v>
      </x:c>
      <x:c r="J74" s="7" t="s">
        <x:v>1828</x:v>
      </x:c>
      <x:c r="K74" s="7" t="s">
        <x:v>1283</x:v>
      </x:c>
      <x:c r="L74" s="7" t="s">
        <x:v>1276</x:v>
      </x:c>
      <x:c r="M74" s="7" t="s">
        <x:v>1045</x:v>
      </x:c>
      <x:c r="N74" s="8" t="b">
        <x:v>1</x:v>
      </x:c>
      <x:c r="O74" s="7" t="s">
        <x:v>2036</x:v>
      </x:c>
      <x:c r="P74" s="15" t="s">
        <x:v>970</x:v>
      </x:c>
    </x:row>
    <x:row r="75" ht="86.55000305175781" customHeight="1">
      <x:c r="A75" s="14" t="s">
        <x:v>2037</x:v>
      </x:c>
      <x:c r="B75" s="16" t="s">
        <x:v>135</x:v>
      </x:c>
      <x:c r="C75" s="10" t="s">
        <x:v>1969</x:v>
      </x:c>
      <x:c r="D75" s="10" t="s">
        <x:v>2038</x:v>
      </x:c>
      <x:c r="E75" s="10">
        <x:v>0.24</x:v>
      </x:c>
      <x:c r="F75" s="10" t="s">
        <x:v>1975</x:v>
      </x:c>
      <x:c r="G75" s="10" t="s">
        <x:v>1796</x:v>
      </x:c>
      <x:c r="H75" s="10" t="s">
        <x:v>1797</x:v>
      </x:c>
      <x:c r="I75" s="10" t="s">
        <x:v>1277</x:v>
      </x:c>
      <x:c r="J75" s="10" t="s">
        <x:v>1828</x:v>
      </x:c>
      <x:c r="K75" s="10" t="s">
        <x:v>1283</x:v>
      </x:c>
      <x:c r="L75" s="10" t="s">
        <x:v>1276</x:v>
      </x:c>
      <x:c r="M75" s="10" t="s">
        <x:v>1045</x:v>
      </x:c>
      <x:c r="N75" s="11" t="b">
        <x:v>1</x:v>
      </x:c>
      <x:c r="O75" s="10" t="s">
        <x:v>2039</x:v>
      </x:c>
      <x:c r="P75" s="16" t="s">
        <x:v>970</x:v>
      </x:c>
    </x:row>
    <x:row r="76" ht="99.8499984741211" customHeight="1">
      <x:c r="A76" s="13" t="s">
        <x:v>2040</x:v>
      </x:c>
      <x:c r="B76" s="15" t="s">
        <x:v>150</x:v>
      </x:c>
      <x:c r="C76" s="7" t="s">
        <x:v>1969</x:v>
      </x:c>
      <x:c r="D76" s="7" t="s">
        <x:v>2041</x:v>
      </x:c>
      <x:c r="E76" s="7">
        <x:v>0.9</x:v>
      </x:c>
      <x:c r="F76" s="7" t="s">
        <x:v>1975</x:v>
      </x:c>
      <x:c r="G76" s="7" t="s">
        <x:v>1796</x:v>
      </x:c>
      <x:c r="H76" s="7" t="s">
        <x:v>1797</x:v>
      </x:c>
      <x:c r="I76" s="7" t="s">
        <x:v>1028</x:v>
      </x:c>
      <x:c r="J76" s="7" t="s">
        <x:v>1854</x:v>
      </x:c>
      <x:c r="K76" s="7" t="s">
        <x:v>1289</x:v>
      </x:c>
      <x:c r="L76" s="7" t="s">
        <x:v>1290</x:v>
      </x:c>
      <x:c r="M76" s="7" t="s">
        <x:v>1288</x:v>
      </x:c>
      <x:c r="N76" s="8" t="b">
        <x:v>1</x:v>
      </x:c>
      <x:c r="O76" s="7" t="s">
        <x:v>2042</x:v>
      </x:c>
      <x:c r="P76" s="15" t="s">
        <x:v>1008</x:v>
      </x:c>
    </x:row>
    <x:row r="77" ht="99.8499984741211" customHeight="1">
      <x:c r="A77" s="14" t="s">
        <x:v>2043</x:v>
      </x:c>
      <x:c r="B77" s="16" t="s">
        <x:v>150</x:v>
      </x:c>
      <x:c r="C77" s="10" t="s">
        <x:v>1969</x:v>
      </x:c>
      <x:c r="D77" s="10" t="s">
        <x:v>2044</x:v>
      </x:c>
      <x:c r="E77" s="10">
        <x:v>0.6</x:v>
      </x:c>
      <x:c r="F77" s="10" t="s">
        <x:v>1975</x:v>
      </x:c>
      <x:c r="G77" s="10" t="s">
        <x:v>1796</x:v>
      </x:c>
      <x:c r="H77" s="10" t="s">
        <x:v>1797</x:v>
      </x:c>
      <x:c r="I77" s="10" t="s">
        <x:v>1028</x:v>
      </x:c>
      <x:c r="J77" s="10" t="s">
        <x:v>1854</x:v>
      </x:c>
      <x:c r="K77" s="10" t="s">
        <x:v>1289</x:v>
      </x:c>
      <x:c r="L77" s="10" t="s">
        <x:v>1290</x:v>
      </x:c>
      <x:c r="M77" s="10" t="s">
        <x:v>1288</x:v>
      </x:c>
      <x:c r="N77" s="11" t="b">
        <x:v>1</x:v>
      </x:c>
      <x:c r="O77" s="10" t="s">
        <x:v>2045</x:v>
      </x:c>
      <x:c r="P77" s="16" t="s">
        <x:v>1008</x:v>
      </x:c>
    </x:row>
    <x:row r="78" ht="99.8499984741211" customHeight="1">
      <x:c r="A78" s="13" t="s">
        <x:v>2046</x:v>
      </x:c>
      <x:c r="B78" s="15" t="s">
        <x:v>150</x:v>
      </x:c>
      <x:c r="C78" s="7" t="s">
        <x:v>1969</x:v>
      </x:c>
      <x:c r="D78" s="7" t="s">
        <x:v>2047</x:v>
      </x:c>
      <x:c r="E78" s="7">
        <x:v>0.9</x:v>
      </x:c>
      <x:c r="F78" s="7" t="s">
        <x:v>1975</x:v>
      </x:c>
      <x:c r="G78" s="7" t="s">
        <x:v>1796</x:v>
      </x:c>
      <x:c r="H78" s="7" t="s">
        <x:v>1797</x:v>
      </x:c>
      <x:c r="I78" s="7" t="s">
        <x:v>1028</x:v>
      </x:c>
      <x:c r="J78" s="7" t="s">
        <x:v>1854</x:v>
      </x:c>
      <x:c r="K78" s="7" t="s">
        <x:v>1289</x:v>
      </x:c>
      <x:c r="L78" s="7" t="s">
        <x:v>1290</x:v>
      </x:c>
      <x:c r="M78" s="7" t="s">
        <x:v>1288</x:v>
      </x:c>
      <x:c r="N78" s="8" t="b">
        <x:v>1</x:v>
      </x:c>
      <x:c r="O78" s="7" t="s">
        <x:v>2048</x:v>
      </x:c>
      <x:c r="P78" s="15" t="s">
        <x:v>1008</x:v>
      </x:c>
    </x:row>
    <x:row r="79" ht="99.8499984741211" customHeight="1">
      <x:c r="A79" s="14" t="s">
        <x:v>2049</x:v>
      </x:c>
      <x:c r="B79" s="16" t="s">
        <x:v>150</x:v>
      </x:c>
      <x:c r="C79" s="10" t="s">
        <x:v>1969</x:v>
      </x:c>
      <x:c r="D79" s="10" t="s">
        <x:v>2050</x:v>
      </x:c>
      <x:c r="E79" s="10">
        <x:v>0.5</x:v>
      </x:c>
      <x:c r="F79" s="10" t="s">
        <x:v>1975</x:v>
      </x:c>
      <x:c r="G79" s="10" t="s">
        <x:v>1796</x:v>
      </x:c>
      <x:c r="H79" s="10" t="s">
        <x:v>1797</x:v>
      </x:c>
      <x:c r="I79" s="10" t="s">
        <x:v>1028</x:v>
      </x:c>
      <x:c r="J79" s="10" t="s">
        <x:v>1854</x:v>
      </x:c>
      <x:c r="K79" s="10" t="s">
        <x:v>1289</x:v>
      </x:c>
      <x:c r="L79" s="10" t="s">
        <x:v>1290</x:v>
      </x:c>
      <x:c r="M79" s="10" t="s">
        <x:v>1288</x:v>
      </x:c>
      <x:c r="N79" s="11" t="b">
        <x:v>1</x:v>
      </x:c>
      <x:c r="O79" s="10" t="s">
        <x:v>2051</x:v>
      </x:c>
      <x:c r="P79" s="16" t="s">
        <x:v>1008</x:v>
      </x:c>
    </x:row>
    <x:row r="80" ht="113.0999984741211" customHeight="1">
      <x:c r="A80" s="13" t="s">
        <x:v>2052</x:v>
      </x:c>
      <x:c r="B80" s="15" t="s">
        <x:v>150</x:v>
      </x:c>
      <x:c r="C80" s="7" t="s">
        <x:v>1969</x:v>
      </x:c>
      <x:c r="D80" s="7" t="s">
        <x:v>2053</x:v>
      </x:c>
      <x:c r="E80" s="7">
        <x:v>0.36</x:v>
      </x:c>
      <x:c r="F80" s="7" t="s">
        <x:v>1975</x:v>
      </x:c>
      <x:c r="G80" s="7" t="s">
        <x:v>1796</x:v>
      </x:c>
      <x:c r="H80" s="7" t="s">
        <x:v>1797</x:v>
      </x:c>
      <x:c r="I80" s="7" t="s">
        <x:v>1302</x:v>
      </x:c>
      <x:c r="J80" s="7" t="s">
        <x:v>2054</x:v>
      </x:c>
      <x:c r="K80" s="7" t="s">
        <x:v>1300</x:v>
      </x:c>
      <x:c r="L80" s="7" t="s">
        <x:v>1301</x:v>
      </x:c>
      <x:c r="M80" s="7" t="s">
        <x:v>1299</x:v>
      </x:c>
      <x:c r="N80" s="8" t="b">
        <x:v>1</x:v>
      </x:c>
      <x:c r="O80" s="7" t="s">
        <x:v>2055</x:v>
      </x:c>
      <x:c r="P80" s="15" t="s">
        <x:v>1303</x:v>
      </x:c>
    </x:row>
    <x:row r="81" ht="99.8499984741211" customHeight="1">
      <x:c r="A81" s="14" t="s">
        <x:v>2056</x:v>
      </x:c>
      <x:c r="B81" s="16" t="s">
        <x:v>150</x:v>
      </x:c>
      <x:c r="C81" s="10" t="s">
        <x:v>1969</x:v>
      </x:c>
      <x:c r="D81" s="10" t="s">
        <x:v>2057</x:v>
      </x:c>
      <x:c r="E81" s="10">
        <x:v>0.73</x:v>
      </x:c>
      <x:c r="F81" s="10" t="s">
        <x:v>1975</x:v>
      </x:c>
      <x:c r="G81" s="10" t="s">
        <x:v>1796</x:v>
      </x:c>
      <x:c r="H81" s="10" t="s">
        <x:v>1797</x:v>
      </x:c>
      <x:c r="I81" s="10" t="s">
        <x:v>1302</x:v>
      </x:c>
      <x:c r="J81" s="10" t="s">
        <x:v>2054</x:v>
      </x:c>
      <x:c r="K81" s="10" t="s">
        <x:v>1306</x:v>
      </x:c>
      <x:c r="L81" s="10" t="s">
        <x:v>1307</x:v>
      </x:c>
      <x:c r="M81" s="10" t="s">
        <x:v>1299</x:v>
      </x:c>
      <x:c r="N81" s="11" t="b">
        <x:v>1</x:v>
      </x:c>
      <x:c r="O81" s="10" t="s">
        <x:v>2058</x:v>
      </x:c>
      <x:c r="P81" s="16" t="s">
        <x:v>1303</x:v>
      </x:c>
    </x:row>
    <x:row r="82" ht="99.8499984741211" customHeight="1">
      <x:c r="A82" s="13" t="s">
        <x:v>2059</x:v>
      </x:c>
      <x:c r="B82" s="15" t="s">
        <x:v>150</x:v>
      </x:c>
      <x:c r="C82" s="7" t="s">
        <x:v>1969</x:v>
      </x:c>
      <x:c r="D82" s="7" t="s">
        <x:v>2060</x:v>
      </x:c>
      <x:c r="E82" s="7">
        <x:v>0.34</x:v>
      </x:c>
      <x:c r="F82" s="7" t="s">
        <x:v>1975</x:v>
      </x:c>
      <x:c r="G82" s="7" t="s">
        <x:v>1796</x:v>
      </x:c>
      <x:c r="H82" s="7" t="s">
        <x:v>1797</x:v>
      </x:c>
      <x:c r="I82" s="7" t="s">
        <x:v>1302</x:v>
      </x:c>
      <x:c r="J82" s="7" t="s">
        <x:v>2054</x:v>
      </x:c>
      <x:c r="K82" s="7" t="s">
        <x:v>1311</x:v>
      </x:c>
      <x:c r="L82" s="7" t="s">
        <x:v>1301</x:v>
      </x:c>
      <x:c r="M82" s="7" t="s">
        <x:v>1299</x:v>
      </x:c>
      <x:c r="N82" s="8" t="b">
        <x:v>1</x:v>
      </x:c>
      <x:c r="O82" s="7" t="s">
        <x:v>2061</x:v>
      </x:c>
      <x:c r="P82" s="15" t="s">
        <x:v>1303</x:v>
      </x:c>
    </x:row>
    <x:row r="83" ht="99.8499984741211" customHeight="1">
      <x:c r="A83" s="14" t="s">
        <x:v>2062</x:v>
      </x:c>
      <x:c r="B83" s="16" t="s">
        <x:v>150</x:v>
      </x:c>
      <x:c r="C83" s="10" t="s">
        <x:v>1969</x:v>
      </x:c>
      <x:c r="D83" s="10" t="s">
        <x:v>2063</x:v>
      </x:c>
      <x:c r="E83" s="10">
        <x:v>0.28000000000000003</x:v>
      </x:c>
      <x:c r="F83" s="10" t="s">
        <x:v>1975</x:v>
      </x:c>
      <x:c r="G83" s="10" t="s">
        <x:v>1796</x:v>
      </x:c>
      <x:c r="H83" s="10" t="s">
        <x:v>1797</x:v>
      </x:c>
      <x:c r="I83" s="10" t="s">
        <x:v>1302</x:v>
      </x:c>
      <x:c r="J83" s="10" t="s">
        <x:v>2054</x:v>
      </x:c>
      <x:c r="K83" s="10" t="s">
        <x:v>1314</x:v>
      </x:c>
      <x:c r="L83" s="10" t="s">
        <x:v>1307</x:v>
      </x:c>
      <x:c r="M83" s="10" t="s">
        <x:v>1299</x:v>
      </x:c>
      <x:c r="N83" s="11" t="b">
        <x:v>1</x:v>
      </x:c>
      <x:c r="O83" s="10" t="s">
        <x:v>2064</x:v>
      </x:c>
      <x:c r="P83" s="16" t="s">
        <x:v>1303</x:v>
      </x:c>
    </x:row>
    <x:row r="84" ht="86.55000305175781" customHeight="1">
      <x:c r="A84" s="13" t="s">
        <x:v>2065</x:v>
      </x:c>
      <x:c r="B84" s="15" t="s">
        <x:v>164</x:v>
      </x:c>
      <x:c r="C84" s="7" t="s">
        <x:v>1969</x:v>
      </x:c>
      <x:c r="D84" s="7" t="s">
        <x:v>2066</x:v>
      </x:c>
      <x:c r="E84" s="7">
        <x:v>0.72</x:v>
      </x:c>
      <x:c r="F84" s="7" t="s">
        <x:v>1975</x:v>
      </x:c>
      <x:c r="G84" s="7" t="s">
        <x:v>1796</x:v>
      </x:c>
      <x:c r="H84" s="7" t="s">
        <x:v>1797</x:v>
      </x:c>
      <x:c r="I84" s="7" t="s">
        <x:v>1041</x:v>
      </x:c>
      <x:c r="J84" s="7" t="s">
        <x:v>1874</x:v>
      </x:c>
      <x:c r="K84" s="7" t="s">
        <x:v>1289</x:v>
      </x:c>
      <x:c r="L84" s="7" t="s">
        <x:v>1040</x:v>
      </x:c>
      <x:c r="M84" s="7" t="s">
        <x:v>1038</x:v>
      </x:c>
      <x:c r="N84" s="8" t="b">
        <x:v>1</x:v>
      </x:c>
      <x:c r="O84" s="7" t="s">
        <x:v>2067</x:v>
      </x:c>
      <x:c r="P84" s="15" t="s">
        <x:v>177</x:v>
      </x:c>
    </x:row>
    <x:row r="85" ht="73.1500015258789" customHeight="1">
      <x:c r="A85" s="14" t="s">
        <x:v>2068</x:v>
      </x:c>
      <x:c r="B85" s="16" t="s">
        <x:v>164</x:v>
      </x:c>
      <x:c r="C85" s="10" t="s">
        <x:v>1969</x:v>
      </x:c>
      <x:c r="D85" s="10" t="s">
        <x:v>2069</x:v>
      </x:c>
      <x:c r="E85" s="10"/>
      <x:c r="F85" s="10"/>
      <x:c r="G85" s="10" t="s">
        <x:v>1796</x:v>
      </x:c>
      <x:c r="H85" s="10" t="s">
        <x:v>1797</x:v>
      </x:c>
      <x:c r="I85" s="10" t="s">
        <x:v>1041</x:v>
      </x:c>
      <x:c r="J85" s="10" t="s">
        <x:v>1874</x:v>
      </x:c>
      <x:c r="K85" s="10" t="s">
        <x:v>1289</x:v>
      </x:c>
      <x:c r="L85" s="10" t="s">
        <x:v>1040</x:v>
      </x:c>
      <x:c r="M85" s="10" t="s">
        <x:v>1038</x:v>
      </x:c>
      <x:c r="N85" s="11" t="b">
        <x:v>1</x:v>
      </x:c>
      <x:c r="O85" s="10" t="s">
        <x:v>2070</x:v>
      </x:c>
      <x:c r="P85" s="16" t="s">
        <x:v>177</x:v>
      </x:c>
    </x:row>
    <x:row r="86" ht="73.1500015258789" customHeight="1">
      <x:c r="A86" s="13" t="s">
        <x:v>2071</x:v>
      </x:c>
      <x:c r="B86" s="15" t="s">
        <x:v>164</x:v>
      </x:c>
      <x:c r="C86" s="7" t="s">
        <x:v>1969</x:v>
      </x:c>
      <x:c r="D86" s="7" t="s">
        <x:v>2072</x:v>
      </x:c>
      <x:c r="E86" s="7"/>
      <x:c r="F86" s="7"/>
      <x:c r="G86" s="7" t="s">
        <x:v>1796</x:v>
      </x:c>
      <x:c r="H86" s="7" t="s">
        <x:v>1797</x:v>
      </x:c>
      <x:c r="I86" s="7" t="s">
        <x:v>1041</x:v>
      </x:c>
      <x:c r="J86" s="7" t="s">
        <x:v>1874</x:v>
      </x:c>
      <x:c r="K86" s="7" t="s">
        <x:v>1289</x:v>
      </x:c>
      <x:c r="L86" s="7" t="s">
        <x:v>1040</x:v>
      </x:c>
      <x:c r="M86" s="7" t="s">
        <x:v>1038</x:v>
      </x:c>
      <x:c r="N86" s="8" t="b">
        <x:v>1</x:v>
      </x:c>
      <x:c r="O86" s="7" t="s">
        <x:v>2073</x:v>
      </x:c>
      <x:c r="P86" s="15" t="s">
        <x:v>177</x:v>
      </x:c>
    </x:row>
    <x:row r="87" ht="73.1500015258789" customHeight="1">
      <x:c r="A87" s="14" t="s">
        <x:v>2074</x:v>
      </x:c>
      <x:c r="B87" s="16" t="s">
        <x:v>178</x:v>
      </x:c>
      <x:c r="C87" s="10" t="s">
        <x:v>1969</x:v>
      </x:c>
      <x:c r="D87" s="10" t="s">
        <x:v>2075</x:v>
      </x:c>
      <x:c r="E87" s="10">
        <x:v>1.5</x:v>
      </x:c>
      <x:c r="F87" s="10" t="s">
        <x:v>1975</x:v>
      </x:c>
      <x:c r="G87" s="10" t="s">
        <x:v>1796</x:v>
      </x:c>
      <x:c r="H87" s="10" t="s">
        <x:v>1797</x:v>
      </x:c>
      <x:c r="I87" s="10" t="s">
        <x:v>1084</x:v>
      </x:c>
      <x:c r="J87" s="10" t="s">
        <x:v>1899</x:v>
      </x:c>
      <x:c r="K87" s="10" t="s">
        <x:v>1326</x:v>
      </x:c>
      <x:c r="L87" s="10" t="s">
        <x:v>1327</x:v>
      </x:c>
      <x:c r="M87" s="10" t="s">
        <x:v>1325</x:v>
      </x:c>
      <x:c r="N87" s="11" t="b">
        <x:v>1</x:v>
      </x:c>
      <x:c r="O87" s="10" t="s">
        <x:v>2076</x:v>
      </x:c>
      <x:c r="P87" s="16" t="s">
        <x:v>191</x:v>
      </x:c>
    </x:row>
    <x:row r="88" ht="73.1500015258789" customHeight="1">
      <x:c r="A88" s="13" t="s">
        <x:v>2077</x:v>
      </x:c>
      <x:c r="B88" s="15" t="s">
        <x:v>178</x:v>
      </x:c>
      <x:c r="C88" s="7" t="s">
        <x:v>1969</x:v>
      </x:c>
      <x:c r="D88" s="7" t="s">
        <x:v>2078</x:v>
      </x:c>
      <x:c r="E88" s="7">
        <x:v>0.5</x:v>
      </x:c>
      <x:c r="F88" s="7" t="s">
        <x:v>1975</x:v>
      </x:c>
      <x:c r="G88" s="7" t="s">
        <x:v>1796</x:v>
      </x:c>
      <x:c r="H88" s="7" t="s">
        <x:v>1797</x:v>
      </x:c>
      <x:c r="I88" s="7" t="s">
        <x:v>1084</x:v>
      </x:c>
      <x:c r="J88" s="7" t="s">
        <x:v>1899</x:v>
      </x:c>
      <x:c r="K88" s="7" t="s">
        <x:v>1326</x:v>
      </x:c>
      <x:c r="L88" s="7" t="s">
        <x:v>1330</x:v>
      </x:c>
      <x:c r="M88" s="7" t="s">
        <x:v>1325</x:v>
      </x:c>
      <x:c r="N88" s="8" t="b">
        <x:v>1</x:v>
      </x:c>
      <x:c r="O88" s="7" t="s">
        <x:v>2079</x:v>
      </x:c>
      <x:c r="P88" s="15" t="s">
        <x:v>191</x:v>
      </x:c>
    </x:row>
    <x:row r="89" ht="99.8499984741211" customHeight="1">
      <x:c r="A89" s="14" t="s">
        <x:v>2080</x:v>
      </x:c>
      <x:c r="B89" s="16" t="s">
        <x:v>192</x:v>
      </x:c>
      <x:c r="C89" s="10" t="s">
        <x:v>1969</x:v>
      </x:c>
      <x:c r="D89" s="10" t="s">
        <x:v>2081</x:v>
      </x:c>
      <x:c r="E89" s="10">
        <x:v>0.37</x:v>
      </x:c>
      <x:c r="F89" s="10" t="s">
        <x:v>1975</x:v>
      </x:c>
      <x:c r="G89" s="10" t="s">
        <x:v>1796</x:v>
      </x:c>
      <x:c r="H89" s="10" t="s">
        <x:v>1797</x:v>
      </x:c>
      <x:c r="I89" s="10" t="s">
        <x:v>1094</x:v>
      </x:c>
      <x:c r="J89" s="10" t="s">
        <x:v>1906</x:v>
      </x:c>
      <x:c r="K89" s="10" t="s">
        <x:v>1334</x:v>
      </x:c>
      <x:c r="L89" s="10" t="s">
        <x:v>1093</x:v>
      </x:c>
      <x:c r="M89" s="10" t="s">
        <x:v>1333</x:v>
      </x:c>
      <x:c r="N89" s="11" t="b">
        <x:v>1</x:v>
      </x:c>
      <x:c r="O89" s="10" t="s">
        <x:v>2082</x:v>
      </x:c>
      <x:c r="P89" s="16" t="s">
        <x:v>207</x:v>
      </x:c>
    </x:row>
    <x:row r="90" ht="99.8499984741211" customHeight="1">
      <x:c r="A90" s="13" t="s">
        <x:v>2083</x:v>
      </x:c>
      <x:c r="B90" s="15" t="s">
        <x:v>208</x:v>
      </x:c>
      <x:c r="C90" s="7" t="s">
        <x:v>1969</x:v>
      </x:c>
      <x:c r="D90" s="7" t="s">
        <x:v>2084</x:v>
      </x:c>
      <x:c r="E90" s="7">
        <x:v>0.5</x:v>
      </x:c>
      <x:c r="F90" s="7" t="s">
        <x:v>1975</x:v>
      </x:c>
      <x:c r="G90" s="7" t="s">
        <x:v>1796</x:v>
      </x:c>
      <x:c r="H90" s="7" t="s">
        <x:v>1797</x:v>
      </x:c>
      <x:c r="I90" s="7" t="s">
        <x:v>1340</x:v>
      </x:c>
      <x:c r="J90" s="7"/>
      <x:c r="K90" s="7" t="s">
        <x:v>1339</x:v>
      </x:c>
      <x:c r="L90" s="7" t="s">
        <x:v>1103</x:v>
      </x:c>
      <x:c r="M90" s="7" t="s">
        <x:v>1338</x:v>
      </x:c>
      <x:c r="N90" s="8" t="b">
        <x:v>1</x:v>
      </x:c>
      <x:c r="O90" s="7" t="s">
        <x:v>2085</x:v>
      </x:c>
      <x:c r="P90" s="15" t="s">
        <x:v>1341</x:v>
      </x:c>
    </x:row>
    <x:row r="91" ht="73.1500015258789" customHeight="1">
      <x:c r="A91" s="14" t="s">
        <x:v>2086</x:v>
      </x:c>
      <x:c r="B91" s="16" t="s">
        <x:v>223</x:v>
      </x:c>
      <x:c r="C91" s="10" t="s">
        <x:v>1969</x:v>
      </x:c>
      <x:c r="D91" s="10" t="s">
        <x:v>2087</x:v>
      </x:c>
      <x:c r="E91" s="10"/>
      <x:c r="F91" s="10"/>
      <x:c r="G91" s="10" t="s">
        <x:v>1796</x:v>
      </x:c>
      <x:c r="H91" s="10" t="s">
        <x:v>1797</x:v>
      </x:c>
      <x:c r="I91" s="10" t="s">
        <x:v>1347</x:v>
      </x:c>
      <x:c r="J91" s="10" t="s">
        <x:v>2088</x:v>
      </x:c>
      <x:c r="K91" s="10" t="s">
        <x:v>1346</x:v>
      </x:c>
      <x:c r="L91" s="10"/>
      <x:c r="M91" s="10" t="s">
        <x:v>1345</x:v>
      </x:c>
      <x:c r="N91" s="11" t="b">
        <x:v>1</x:v>
      </x:c>
      <x:c r="O91" s="10" t="s">
        <x:v>2089</x:v>
      </x:c>
      <x:c r="P91" s="16" t="s">
        <x:v>1348</x:v>
      </x:c>
    </x:row>
    <x:row r="92" ht="73.1500015258789" customHeight="1">
      <x:c r="A92" s="13" t="s">
        <x:v>2090</x:v>
      </x:c>
      <x:c r="B92" s="15" t="s">
        <x:v>223</x:v>
      </x:c>
      <x:c r="C92" s="7" t="s">
        <x:v>1969</x:v>
      </x:c>
      <x:c r="D92" s="7" t="s">
        <x:v>2091</x:v>
      </x:c>
      <x:c r="E92" s="7"/>
      <x:c r="F92" s="7"/>
      <x:c r="G92" s="7" t="s">
        <x:v>1796</x:v>
      </x:c>
      <x:c r="H92" s="7" t="s">
        <x:v>1797</x:v>
      </x:c>
      <x:c r="I92" s="7" t="s">
        <x:v>1347</x:v>
      </x:c>
      <x:c r="J92" s="7" t="s">
        <x:v>2088</x:v>
      </x:c>
      <x:c r="K92" s="7" t="s">
        <x:v>1346</x:v>
      </x:c>
      <x:c r="L92" s="7"/>
      <x:c r="M92" s="7" t="s">
        <x:v>1351</x:v>
      </x:c>
      <x:c r="N92" s="8" t="b">
        <x:v>1</x:v>
      </x:c>
      <x:c r="O92" s="7" t="s">
        <x:v>2092</x:v>
      </x:c>
      <x:c r="P92" s="15" t="s">
        <x:v>1348</x:v>
      </x:c>
    </x:row>
    <x:row r="93" ht="73.1500015258789" customHeight="1">
      <x:c r="A93" s="14" t="s">
        <x:v>2093</x:v>
      </x:c>
      <x:c r="B93" s="16" t="s">
        <x:v>237</x:v>
      </x:c>
      <x:c r="C93" s="10" t="s">
        <x:v>1969</x:v>
      </x:c>
      <x:c r="D93" s="10" t="s">
        <x:v>2094</x:v>
      </x:c>
      <x:c r="E93" s="10">
        <x:v>2</x:v>
      </x:c>
      <x:c r="F93" s="10" t="s">
        <x:v>1975</x:v>
      </x:c>
      <x:c r="G93" s="10" t="s">
        <x:v>1796</x:v>
      </x:c>
      <x:c r="H93" s="10" t="s">
        <x:v>1797</x:v>
      </x:c>
      <x:c r="I93" s="10" t="s">
        <x:v>1124</x:v>
      </x:c>
      <x:c r="J93" s="10" t="s">
        <x:v>1922</x:v>
      </x:c>
      <x:c r="K93" s="10" t="s">
        <x:v>1346</x:v>
      </x:c>
      <x:c r="L93" s="10" t="s">
        <x:v>1355</x:v>
      </x:c>
      <x:c r="M93" s="10" t="s">
        <x:v>1045</x:v>
      </x:c>
      <x:c r="N93" s="11" t="b">
        <x:v>1</x:v>
      </x:c>
      <x:c r="O93" s="10" t="s">
        <x:v>2095</x:v>
      </x:c>
      <x:c r="P93" s="16" t="s">
        <x:v>1126</x:v>
      </x:c>
    </x:row>
    <x:row r="94" ht="86.55000305175781" customHeight="1">
      <x:c r="A94" s="13" t="s">
        <x:v>2096</x:v>
      </x:c>
      <x:c r="B94" s="15" t="s">
        <x:v>237</x:v>
      </x:c>
      <x:c r="C94" s="7" t="s">
        <x:v>1969</x:v>
      </x:c>
      <x:c r="D94" s="7" t="s">
        <x:v>2097</x:v>
      </x:c>
      <x:c r="E94" s="7">
        <x:v>0.5</x:v>
      </x:c>
      <x:c r="F94" s="7" t="s">
        <x:v>1975</x:v>
      </x:c>
      <x:c r="G94" s="7" t="s">
        <x:v>1796</x:v>
      </x:c>
      <x:c r="H94" s="7" t="s">
        <x:v>1797</x:v>
      </x:c>
      <x:c r="I94" s="7" t="s">
        <x:v>1124</x:v>
      </x:c>
      <x:c r="J94" s="7" t="s">
        <x:v>1922</x:v>
      </x:c>
      <x:c r="K94" s="7" t="s">
        <x:v>1346</x:v>
      </x:c>
      <x:c r="L94" s="7" t="s">
        <x:v>1358</x:v>
      </x:c>
      <x:c r="M94" s="7" t="s">
        <x:v>1045</x:v>
      </x:c>
      <x:c r="N94" s="8" t="b">
        <x:v>1</x:v>
      </x:c>
      <x:c r="O94" s="7" t="s">
        <x:v>2098</x:v>
      </x:c>
      <x:c r="P94" s="15" t="s">
        <x:v>1126</x:v>
      </x:c>
    </x:row>
    <x:row r="95" ht="73.1500015258789" customHeight="1">
      <x:c r="A95" s="14" t="s">
        <x:v>2099</x:v>
      </x:c>
      <x:c r="B95" s="16" t="s">
        <x:v>237</x:v>
      </x:c>
      <x:c r="C95" s="10" t="s">
        <x:v>1969</x:v>
      </x:c>
      <x:c r="D95" s="10" t="s">
        <x:v>2100</x:v>
      </x:c>
      <x:c r="E95" s="10"/>
      <x:c r="F95" s="10"/>
      <x:c r="G95" s="10" t="s">
        <x:v>1796</x:v>
      </x:c>
      <x:c r="H95" s="10" t="s">
        <x:v>1797</x:v>
      </x:c>
      <x:c r="I95" s="10" t="s">
        <x:v>1124</x:v>
      </x:c>
      <x:c r="J95" s="10" t="s">
        <x:v>1922</x:v>
      </x:c>
      <x:c r="K95" s="10" t="s">
        <x:v>1346</x:v>
      </x:c>
      <x:c r="L95" s="10" t="s">
        <x:v>1362</x:v>
      </x:c>
      <x:c r="M95" s="10" t="s">
        <x:v>1045</x:v>
      </x:c>
      <x:c r="N95" s="11" t="b">
        <x:v>1</x:v>
      </x:c>
      <x:c r="O95" s="10" t="s">
        <x:v>2101</x:v>
      </x:c>
      <x:c r="P95" s="16" t="s">
        <x:v>1126</x:v>
      </x:c>
    </x:row>
    <x:row r="96" ht="86.55000305175781" customHeight="1">
      <x:c r="A96" s="13" t="s">
        <x:v>2102</x:v>
      </x:c>
      <x:c r="B96" s="15" t="s">
        <x:v>252</x:v>
      </x:c>
      <x:c r="C96" s="7" t="s">
        <x:v>1969</x:v>
      </x:c>
      <x:c r="D96" s="7" t="s">
        <x:v>2103</x:v>
      </x:c>
      <x:c r="E96" s="7">
        <x:v>1</x:v>
      </x:c>
      <x:c r="F96" s="7" t="s">
        <x:v>1975</x:v>
      </x:c>
      <x:c r="G96" s="7" t="s">
        <x:v>1796</x:v>
      </x:c>
      <x:c r="H96" s="7" t="s">
        <x:v>1797</x:v>
      </x:c>
      <x:c r="I96" s="7" t="s">
        <x:v>1130</x:v>
      </x:c>
      <x:c r="J96" s="7" t="s">
        <x:v>1926</x:v>
      </x:c>
      <x:c r="K96" s="7" t="s">
        <x:v>1346</x:v>
      </x:c>
      <x:c r="L96" s="7" t="s">
        <x:v>1129</x:v>
      </x:c>
      <x:c r="M96" s="7" t="s">
        <x:v>1365</x:v>
      </x:c>
      <x:c r="N96" s="8" t="b">
        <x:v>1</x:v>
      </x:c>
      <x:c r="O96" s="7" t="s">
        <x:v>2104</x:v>
      </x:c>
      <x:c r="P96" s="15" t="s">
        <x:v>266</x:v>
      </x:c>
    </x:row>
    <x:row r="97" ht="99.8499984741211" customHeight="1">
      <x:c r="A97" s="14" t="s">
        <x:v>2105</x:v>
      </x:c>
      <x:c r="B97" s="16" t="s">
        <x:v>252</x:v>
      </x:c>
      <x:c r="C97" s="10" t="s">
        <x:v>1969</x:v>
      </x:c>
      <x:c r="D97" s="10" t="s">
        <x:v>2106</x:v>
      </x:c>
      <x:c r="E97" s="10">
        <x:v>0.5</x:v>
      </x:c>
      <x:c r="F97" s="10" t="s">
        <x:v>1975</x:v>
      </x:c>
      <x:c r="G97" s="10" t="s">
        <x:v>1796</x:v>
      </x:c>
      <x:c r="H97" s="10" t="s">
        <x:v>1797</x:v>
      </x:c>
      <x:c r="I97" s="10" t="s">
        <x:v>1130</x:v>
      </x:c>
      <x:c r="J97" s="10" t="s">
        <x:v>1926</x:v>
      </x:c>
      <x:c r="K97" s="10" t="s">
        <x:v>1346</x:v>
      </x:c>
      <x:c r="L97" s="10" t="s">
        <x:v>1135</x:v>
      </x:c>
      <x:c r="M97" s="10" t="s">
        <x:v>1368</x:v>
      </x:c>
      <x:c r="N97" s="11" t="b">
        <x:v>1</x:v>
      </x:c>
      <x:c r="O97" s="10" t="s">
        <x:v>2107</x:v>
      </x:c>
      <x:c r="P97" s="16" t="s">
        <x:v>266</x:v>
      </x:c>
    </x:row>
    <x:row r="98" ht="86.55000305175781" customHeight="1">
      <x:c r="A98" s="13" t="s">
        <x:v>2108</x:v>
      </x:c>
      <x:c r="B98" s="15" t="s">
        <x:v>252</x:v>
      </x:c>
      <x:c r="C98" s="7" t="s">
        <x:v>1969</x:v>
      </x:c>
      <x:c r="D98" s="7" t="s">
        <x:v>2109</x:v>
      </x:c>
      <x:c r="E98" s="7"/>
      <x:c r="F98" s="7"/>
      <x:c r="G98" s="7" t="s">
        <x:v>1796</x:v>
      </x:c>
      <x:c r="H98" s="7" t="s">
        <x:v>1797</x:v>
      </x:c>
      <x:c r="I98" s="7" t="s">
        <x:v>1130</x:v>
      </x:c>
      <x:c r="J98" s="7" t="s">
        <x:v>1926</x:v>
      </x:c>
      <x:c r="K98" s="7" t="s">
        <x:v>1346</x:v>
      </x:c>
      <x:c r="L98" s="7" t="s">
        <x:v>1135</x:v>
      </x:c>
      <x:c r="M98" s="7" t="s">
        <x:v>1368</x:v>
      </x:c>
      <x:c r="N98" s="8" t="b">
        <x:v>1</x:v>
      </x:c>
      <x:c r="O98" s="7" t="s">
        <x:v>2110</x:v>
      </x:c>
      <x:c r="P98" s="15" t="s">
        <x:v>266</x:v>
      </x:c>
    </x:row>
    <x:row r="99" ht="86.55000305175781" customHeight="1">
      <x:c r="A99" s="14" t="s">
        <x:v>2111</x:v>
      </x:c>
      <x:c r="B99" s="16" t="s">
        <x:v>267</x:v>
      </x:c>
      <x:c r="C99" s="10" t="s">
        <x:v>1969</x:v>
      </x:c>
      <x:c r="D99" s="10" t="s">
        <x:v>2112</x:v>
      </x:c>
      <x:c r="E99" s="10">
        <x:v>0.68</x:v>
      </x:c>
      <x:c r="F99" s="10" t="s">
        <x:v>1975</x:v>
      </x:c>
      <x:c r="G99" s="10" t="s">
        <x:v>1796</x:v>
      </x:c>
      <x:c r="H99" s="10" t="s">
        <x:v>1797</x:v>
      </x:c>
      <x:c r="I99" s="10" t="s">
        <x:v>1377</x:v>
      </x:c>
      <x:c r="J99" s="10"/>
      <x:c r="K99" s="10" t="s">
        <x:v>1376</x:v>
      </x:c>
      <x:c r="L99" s="10" t="s">
        <x:v>1140</x:v>
      </x:c>
      <x:c r="M99" s="10" t="s">
        <x:v>1375</x:v>
      </x:c>
      <x:c r="N99" s="11" t="b">
        <x:v>1</x:v>
      </x:c>
      <x:c r="O99" s="10" t="s">
        <x:v>2113</x:v>
      </x:c>
      <x:c r="P99" s="16" t="s">
        <x:v>1378</x:v>
      </x:c>
    </x:row>
    <x:row r="100" ht="73.1500015258789" customHeight="1">
      <x:c r="A100" s="13" t="s">
        <x:v>2114</x:v>
      </x:c>
      <x:c r="B100" s="15" t="s">
        <x:v>267</x:v>
      </x:c>
      <x:c r="C100" s="7" t="s">
        <x:v>1969</x:v>
      </x:c>
      <x:c r="D100" s="7" t="s">
        <x:v>2115</x:v>
      </x:c>
      <x:c r="E100" s="7">
        <x:v>0.22</x:v>
      </x:c>
      <x:c r="F100" s="7" t="s">
        <x:v>1975</x:v>
      </x:c>
      <x:c r="G100" s="7" t="s">
        <x:v>1796</x:v>
      </x:c>
      <x:c r="H100" s="7" t="s">
        <x:v>1797</x:v>
      </x:c>
      <x:c r="I100" s="7" t="s">
        <x:v>1302</x:v>
      </x:c>
      <x:c r="J100" s="7" t="s">
        <x:v>2054</x:v>
      </x:c>
      <x:c r="K100" s="7" t="s">
        <x:v>1381</x:v>
      </x:c>
      <x:c r="L100" s="7" t="s">
        <x:v>1140</x:v>
      </x:c>
      <x:c r="M100" s="7" t="s">
        <x:v>1375</x:v>
      </x:c>
      <x:c r="N100" s="8" t="b">
        <x:v>1</x:v>
      </x:c>
      <x:c r="O100" s="7" t="s">
        <x:v>2116</x:v>
      </x:c>
      <x:c r="P100" s="15" t="s">
        <x:v>1303</x:v>
      </x:c>
    </x:row>
    <x:row r="101" ht="86.55000305175781" customHeight="1">
      <x:c r="A101" s="14" t="s">
        <x:v>2117</x:v>
      </x:c>
      <x:c r="B101" s="16" t="s">
        <x:v>267</x:v>
      </x:c>
      <x:c r="C101" s="10" t="s">
        <x:v>1969</x:v>
      </x:c>
      <x:c r="D101" s="10" t="s">
        <x:v>2118</x:v>
      </x:c>
      <x:c r="E101" s="10"/>
      <x:c r="F101" s="10"/>
      <x:c r="G101" s="10" t="s">
        <x:v>1796</x:v>
      </x:c>
      <x:c r="H101" s="10" t="s">
        <x:v>1797</x:v>
      </x:c>
      <x:c r="I101" s="10" t="s">
        <x:v>1387</x:v>
      </x:c>
      <x:c r="J101" s="10" t="s">
        <x:v>2119</x:v>
      </x:c>
      <x:c r="K101" s="10" t="s">
        <x:v>1385</x:v>
      </x:c>
      <x:c r="L101" s="10" t="s">
        <x:v>1386</x:v>
      </x:c>
      <x:c r="M101" s="10" t="s">
        <x:v>1384</x:v>
      </x:c>
      <x:c r="N101" s="11" t="b">
        <x:v>1</x:v>
      </x:c>
      <x:c r="O101" s="10" t="s">
        <x:v>2120</x:v>
      </x:c>
      <x:c r="P101" s="16" t="s">
        <x:v>1388</x:v>
      </x:c>
    </x:row>
    <x:row r="102" ht="86.55000305175781" customHeight="1">
      <x:c r="A102" s="13" t="s">
        <x:v>2121</x:v>
      </x:c>
      <x:c r="B102" s="15" t="s">
        <x:v>267</x:v>
      </x:c>
      <x:c r="C102" s="7" t="s">
        <x:v>1969</x:v>
      </x:c>
      <x:c r="D102" s="7" t="s">
        <x:v>2122</x:v>
      </x:c>
      <x:c r="E102" s="7">
        <x:v>0.46200000000000002</x:v>
      </x:c>
      <x:c r="F102" s="7" t="s">
        <x:v>1975</x:v>
      </x:c>
      <x:c r="G102" s="7" t="s">
        <x:v>1796</x:v>
      </x:c>
      <x:c r="H102" s="7" t="s">
        <x:v>1797</x:v>
      </x:c>
      <x:c r="I102" s="7" t="s">
        <x:v>1387</x:v>
      </x:c>
      <x:c r="J102" s="7" t="s">
        <x:v>2119</x:v>
      </x:c>
      <x:c r="K102" s="7" t="s">
        <x:v>1391</x:v>
      </x:c>
      <x:c r="L102" s="7" t="s">
        <x:v>1392</x:v>
      </x:c>
      <x:c r="M102" s="7" t="s">
        <x:v>1384</x:v>
      </x:c>
      <x:c r="N102" s="8" t="b">
        <x:v>1</x:v>
      </x:c>
      <x:c r="O102" s="7" t="s">
        <x:v>2123</x:v>
      </x:c>
      <x:c r="P102" s="15" t="s">
        <x:v>1388</x:v>
      </x:c>
    </x:row>
    <x:row r="103" ht="86.55000305175781" customHeight="1">
      <x:c r="A103" s="14" t="s">
        <x:v>2124</x:v>
      </x:c>
      <x:c r="B103" s="16" t="s">
        <x:v>294</x:v>
      </x:c>
      <x:c r="C103" s="10" t="s">
        <x:v>1969</x:v>
      </x:c>
      <x:c r="D103" s="10" t="s">
        <x:v>2125</x:v>
      </x:c>
      <x:c r="E103" s="10">
        <x:v>0.8</x:v>
      </x:c>
      <x:c r="F103" s="10" t="s">
        <x:v>1975</x:v>
      </x:c>
      <x:c r="G103" s="10" t="s">
        <x:v>1796</x:v>
      </x:c>
      <x:c r="H103" s="10" t="s">
        <x:v>1797</x:v>
      </x:c>
      <x:c r="I103" s="10" t="s">
        <x:v>1398</x:v>
      </x:c>
      <x:c r="J103" s="10" t="s">
        <x:v>1940</x:v>
      </x:c>
      <x:c r="K103" s="10" t="s">
        <x:v>1397</x:v>
      </x:c>
      <x:c r="L103" s="10" t="s">
        <x:v>303</x:v>
      </x:c>
      <x:c r="M103" s="10" t="s">
        <x:v>1396</x:v>
      </x:c>
      <x:c r="N103" s="11" t="b">
        <x:v>1</x:v>
      </x:c>
      <x:c r="O103" s="10" t="s">
        <x:v>2126</x:v>
      </x:c>
      <x:c r="P103" s="16" t="s">
        <x:v>306</x:v>
      </x:c>
    </x:row>
    <x:row r="104" ht="73.1500015258789" customHeight="1">
      <x:c r="A104" s="13" t="s">
        <x:v>2127</x:v>
      </x:c>
      <x:c r="B104" s="15" t="s">
        <x:v>294</x:v>
      </x:c>
      <x:c r="C104" s="7" t="s">
        <x:v>1969</x:v>
      </x:c>
      <x:c r="D104" s="7" t="s">
        <x:v>2128</x:v>
      </x:c>
      <x:c r="E104" s="7">
        <x:v>0.9</x:v>
      </x:c>
      <x:c r="F104" s="7" t="s">
        <x:v>1975</x:v>
      </x:c>
      <x:c r="G104" s="7" t="s">
        <x:v>1796</x:v>
      </x:c>
      <x:c r="H104" s="7" t="s">
        <x:v>1797</x:v>
      </x:c>
      <x:c r="I104" s="7" t="s">
        <x:v>1398</x:v>
      </x:c>
      <x:c r="J104" s="7" t="s">
        <x:v>1940</x:v>
      </x:c>
      <x:c r="K104" s="7" t="s">
        <x:v>1397</x:v>
      </x:c>
      <x:c r="L104" s="7" t="s">
        <x:v>303</x:v>
      </x:c>
      <x:c r="M104" s="7" t="s">
        <x:v>1396</x:v>
      </x:c>
      <x:c r="N104" s="8" t="b">
        <x:v>1</x:v>
      </x:c>
      <x:c r="O104" s="7" t="s">
        <x:v>2129</x:v>
      </x:c>
      <x:c r="P104" s="15" t="s">
        <x:v>306</x:v>
      </x:c>
    </x:row>
    <x:row r="105" ht="73.1500015258789" customHeight="1">
      <x:c r="A105" s="14" t="s">
        <x:v>2130</x:v>
      </x:c>
      <x:c r="B105" s="16" t="s">
        <x:v>294</x:v>
      </x:c>
      <x:c r="C105" s="10" t="s">
        <x:v>1969</x:v>
      </x:c>
      <x:c r="D105" s="10" t="s">
        <x:v>2131</x:v>
      </x:c>
      <x:c r="E105" s="10">
        <x:v>0.5</x:v>
      </x:c>
      <x:c r="F105" s="10" t="s">
        <x:v>1975</x:v>
      </x:c>
      <x:c r="G105" s="10" t="s">
        <x:v>1796</x:v>
      </x:c>
      <x:c r="H105" s="10" t="s">
        <x:v>1797</x:v>
      </x:c>
      <x:c r="I105" s="10" t="s">
        <x:v>1398</x:v>
      </x:c>
      <x:c r="J105" s="10" t="s">
        <x:v>1940</x:v>
      </x:c>
      <x:c r="K105" s="10" t="s">
        <x:v>1397</x:v>
      </x:c>
      <x:c r="L105" s="10" t="s">
        <x:v>303</x:v>
      </x:c>
      <x:c r="M105" s="10" t="s">
        <x:v>1396</x:v>
      </x:c>
      <x:c r="N105" s="11" t="b">
        <x:v>1</x:v>
      </x:c>
      <x:c r="O105" s="10" t="s">
        <x:v>2132</x:v>
      </x:c>
      <x:c r="P105" s="16" t="s">
        <x:v>306</x:v>
      </x:c>
    </x:row>
    <x:row r="106" ht="86.55000305175781" customHeight="1">
      <x:c r="A106" s="13" t="s">
        <x:v>2133</x:v>
      </x:c>
      <x:c r="B106" s="15" t="s">
        <x:v>307</x:v>
      </x:c>
      <x:c r="C106" s="7" t="s">
        <x:v>1969</x:v>
      </x:c>
      <x:c r="D106" s="7" t="s">
        <x:v>2134</x:v>
      </x:c>
      <x:c r="E106" s="7">
        <x:v>0.9</x:v>
      </x:c>
      <x:c r="F106" s="7" t="s">
        <x:v>1975</x:v>
      </x:c>
      <x:c r="G106" s="7" t="s">
        <x:v>1796</x:v>
      </x:c>
      <x:c r="H106" s="7" t="s">
        <x:v>1797</x:v>
      </x:c>
      <x:c r="I106" s="7" t="s">
        <x:v>1409</x:v>
      </x:c>
      <x:c r="J106" s="7" t="s">
        <x:v>1944</x:v>
      </x:c>
      <x:c r="K106" s="7" t="s">
        <x:v>1407</x:v>
      </x:c>
      <x:c r="L106" s="7" t="s">
        <x:v>1408</x:v>
      </x:c>
      <x:c r="M106" s="7" t="s">
        <x:v>1406</x:v>
      </x:c>
      <x:c r="N106" s="8" t="b">
        <x:v>1</x:v>
      </x:c>
      <x:c r="O106" s="7" t="s">
        <x:v>2135</x:v>
      </x:c>
      <x:c r="P106" s="15" t="s">
        <x:v>320</x:v>
      </x:c>
    </x:row>
    <x:row r="107" ht="86.55000305175781" customHeight="1">
      <x:c r="A107" s="14" t="s">
        <x:v>2136</x:v>
      </x:c>
      <x:c r="B107" s="16" t="s">
        <x:v>307</x:v>
      </x:c>
      <x:c r="C107" s="10" t="s">
        <x:v>1969</x:v>
      </x:c>
      <x:c r="D107" s="10" t="s">
        <x:v>2137</x:v>
      </x:c>
      <x:c r="E107" s="10">
        <x:v>0.3</x:v>
      </x:c>
      <x:c r="F107" s="10" t="s">
        <x:v>1975</x:v>
      </x:c>
      <x:c r="G107" s="10" t="s">
        <x:v>1796</x:v>
      </x:c>
      <x:c r="H107" s="10" t="s">
        <x:v>1797</x:v>
      </x:c>
      <x:c r="I107" s="10" t="s">
        <x:v>1409</x:v>
      </x:c>
      <x:c r="J107" s="10" t="s">
        <x:v>1944</x:v>
      </x:c>
      <x:c r="K107" s="10" t="s">
        <x:v>1346</x:v>
      </x:c>
      <x:c r="L107" s="10" t="s">
        <x:v>1408</x:v>
      </x:c>
      <x:c r="M107" s="10" t="s">
        <x:v>1406</x:v>
      </x:c>
      <x:c r="N107" s="11" t="b">
        <x:v>1</x:v>
      </x:c>
      <x:c r="O107" s="10" t="s">
        <x:v>2138</x:v>
      </x:c>
      <x:c r="P107" s="16" t="s">
        <x:v>320</x:v>
      </x:c>
    </x:row>
    <x:row r="108" ht="73.1500015258789" customHeight="1">
      <x:c r="A108" s="13" t="s">
        <x:v>2139</x:v>
      </x:c>
      <x:c r="B108" s="15" t="s">
        <x:v>370</x:v>
      </x:c>
      <x:c r="C108" s="7" t="s">
        <x:v>1969</x:v>
      </x:c>
      <x:c r="D108" s="7" t="s">
        <x:v>2140</x:v>
      </x:c>
      <x:c r="E108" s="7"/>
      <x:c r="F108" s="7"/>
      <x:c r="G108" s="7" t="s">
        <x:v>1796</x:v>
      </x:c>
      <x:c r="H108" s="7" t="s">
        <x:v>1797</x:v>
      </x:c>
      <x:c r="I108" s="7" t="s">
        <x:v>1416</x:v>
      </x:c>
      <x:c r="J108" s="7" t="s">
        <x:v>2141</x:v>
      </x:c>
      <x:c r="K108" s="7" t="s">
        <x:v>1414</x:v>
      </x:c>
      <x:c r="L108" s="7" t="s">
        <x:v>1415</x:v>
      </x:c>
      <x:c r="M108" s="7" t="s">
        <x:v>1413</x:v>
      </x:c>
      <x:c r="N108" s="8" t="b">
        <x:v>1</x:v>
      </x:c>
      <x:c r="O108" s="7" t="s">
        <x:v>2142</x:v>
      </x:c>
      <x:c r="P108" s="15" t="s">
        <x:v>1417</x:v>
      </x:c>
    </x:row>
    <x:row r="109" ht="46.599998474121094" customHeight="1">
      <x:c r="A109" s="14" t="s">
        <x:v>2143</x:v>
      </x:c>
      <x:c r="B109" s="16" t="s">
        <x:v>114</x:v>
      </x:c>
      <x:c r="C109" s="10" t="s">
        <x:v>102</x:v>
      </x:c>
      <x:c r="D109" s="10" t="s">
        <x:v>128</x:v>
      </x:c>
      <x:c r="E109" s="10"/>
      <x:c r="F109" s="10"/>
      <x:c r="G109" s="10" t="s">
        <x:v>1796</x:v>
      </x:c>
      <x:c r="H109" s="10" t="s">
        <x:v>1797</x:v>
      </x:c>
      <x:c r="I109" s="10"/>
      <x:c r="J109" s="10"/>
      <x:c r="K109" s="10"/>
      <x:c r="L109" s="10"/>
      <x:c r="M109" s="10"/>
      <x:c r="N109" s="11" t="b">
        <x:v>1</x:v>
      </x:c>
      <x:c r="O109" s="10" t="s">
        <x:v>2144</x:v>
      </x:c>
      <x:c r="P109" s="16"/>
    </x:row>
    <x:row r="110" ht="46.599998474121094" customHeight="1">
      <x:c r="A110" s="13" t="s">
        <x:v>2145</x:v>
      </x:c>
      <x:c r="B110" s="15" t="s">
        <x:v>135</x:v>
      </x:c>
      <x:c r="C110" s="7" t="s">
        <x:v>102</x:v>
      </x:c>
      <x:c r="D110" s="7" t="s">
        <x:v>143</x:v>
      </x:c>
      <x:c r="E110" s="7"/>
      <x:c r="F110" s="7"/>
      <x:c r="G110" s="7" t="s">
        <x:v>1796</x:v>
      </x:c>
      <x:c r="H110" s="7" t="s">
        <x:v>1797</x:v>
      </x:c>
      <x:c r="I110" s="7"/>
      <x:c r="J110" s="7"/>
      <x:c r="K110" s="7"/>
      <x:c r="L110" s="7"/>
      <x:c r="M110" s="7"/>
      <x:c r="N110" s="8" t="b">
        <x:v>1</x:v>
      </x:c>
      <x:c r="O110" s="7" t="s">
        <x:v>2146</x:v>
      </x:c>
      <x:c r="P110" s="15"/>
    </x:row>
    <x:row r="111" ht="46.599998474121094" customHeight="1">
      <x:c r="A111" s="14" t="s">
        <x:v>2147</x:v>
      </x:c>
      <x:c r="B111" s="16" t="s">
        <x:v>150</x:v>
      </x:c>
      <x:c r="C111" s="10" t="s">
        <x:v>102</x:v>
      </x:c>
      <x:c r="D111" s="10" t="s">
        <x:v>157</x:v>
      </x:c>
      <x:c r="E111" s="10"/>
      <x:c r="F111" s="10"/>
      <x:c r="G111" s="10" t="s">
        <x:v>1796</x:v>
      </x:c>
      <x:c r="H111" s="10" t="s">
        <x:v>1797</x:v>
      </x:c>
      <x:c r="I111" s="10"/>
      <x:c r="J111" s="10"/>
      <x:c r="K111" s="10"/>
      <x:c r="L111" s="10"/>
      <x:c r="M111" s="10"/>
      <x:c r="N111" s="11" t="b">
        <x:v>1</x:v>
      </x:c>
      <x:c r="O111" s="10" t="s">
        <x:v>2148</x:v>
      </x:c>
      <x:c r="P111" s="16"/>
    </x:row>
    <x:row r="112" ht="46.599998474121094" customHeight="1">
      <x:c r="A112" s="13" t="s">
        <x:v>2149</x:v>
      </x:c>
      <x:c r="B112" s="15" t="s">
        <x:v>164</x:v>
      </x:c>
      <x:c r="C112" s="7" t="s">
        <x:v>102</x:v>
      </x:c>
      <x:c r="D112" s="7" t="s">
        <x:v>171</x:v>
      </x:c>
      <x:c r="E112" s="7"/>
      <x:c r="F112" s="7"/>
      <x:c r="G112" s="7" t="s">
        <x:v>1796</x:v>
      </x:c>
      <x:c r="H112" s="7" t="s">
        <x:v>1797</x:v>
      </x:c>
      <x:c r="I112" s="7"/>
      <x:c r="J112" s="7"/>
      <x:c r="K112" s="7"/>
      <x:c r="L112" s="7"/>
      <x:c r="M112" s="7"/>
      <x:c r="N112" s="8" t="b">
        <x:v>1</x:v>
      </x:c>
      <x:c r="O112" s="7" t="s">
        <x:v>2150</x:v>
      </x:c>
      <x:c r="P112" s="15"/>
    </x:row>
    <x:row r="113" ht="46.599998474121094" customHeight="1">
      <x:c r="A113" s="14" t="s">
        <x:v>2151</x:v>
      </x:c>
      <x:c r="B113" s="16" t="s">
        <x:v>178</x:v>
      </x:c>
      <x:c r="C113" s="10" t="s">
        <x:v>102</x:v>
      </x:c>
      <x:c r="D113" s="10" t="s">
        <x:v>185</x:v>
      </x:c>
      <x:c r="E113" s="10"/>
      <x:c r="F113" s="10"/>
      <x:c r="G113" s="10" t="s">
        <x:v>1796</x:v>
      </x:c>
      <x:c r="H113" s="10" t="s">
        <x:v>1797</x:v>
      </x:c>
      <x:c r="I113" s="10"/>
      <x:c r="J113" s="10"/>
      <x:c r="K113" s="10"/>
      <x:c r="L113" s="10"/>
      <x:c r="M113" s="10"/>
      <x:c r="N113" s="11" t="b">
        <x:v>1</x:v>
      </x:c>
      <x:c r="O113" s="10" t="s">
        <x:v>2152</x:v>
      </x:c>
      <x:c r="P113" s="16"/>
    </x:row>
    <x:row r="114" ht="46.599998474121094" customHeight="1">
      <x:c r="A114" s="13" t="s">
        <x:v>2153</x:v>
      </x:c>
      <x:c r="B114" s="15" t="s">
        <x:v>192</x:v>
      </x:c>
      <x:c r="C114" s="7" t="s">
        <x:v>102</x:v>
      </x:c>
      <x:c r="D114" s="7" t="s">
        <x:v>201</x:v>
      </x:c>
      <x:c r="E114" s="7"/>
      <x:c r="F114" s="7"/>
      <x:c r="G114" s="7" t="s">
        <x:v>1796</x:v>
      </x:c>
      <x:c r="H114" s="7" t="s">
        <x:v>1797</x:v>
      </x:c>
      <x:c r="I114" s="7"/>
      <x:c r="J114" s="7"/>
      <x:c r="K114" s="7"/>
      <x:c r="L114" s="7"/>
      <x:c r="M114" s="7"/>
      <x:c r="N114" s="8" t="b">
        <x:v>1</x:v>
      </x:c>
      <x:c r="O114" s="7" t="s">
        <x:v>2154</x:v>
      </x:c>
      <x:c r="P114" s="15"/>
    </x:row>
    <x:row r="115" ht="46.599998474121094" customHeight="1">
      <x:c r="A115" s="14" t="s">
        <x:v>2155</x:v>
      </x:c>
      <x:c r="B115" s="16" t="s">
        <x:v>208</x:v>
      </x:c>
      <x:c r="C115" s="10" t="s">
        <x:v>102</x:v>
      </x:c>
      <x:c r="D115" s="10" t="s">
        <x:v>217</x:v>
      </x:c>
      <x:c r="E115" s="10"/>
      <x:c r="F115" s="10"/>
      <x:c r="G115" s="10" t="s">
        <x:v>1796</x:v>
      </x:c>
      <x:c r="H115" s="10" t="s">
        <x:v>1797</x:v>
      </x:c>
      <x:c r="I115" s="10"/>
      <x:c r="J115" s="10"/>
      <x:c r="K115" s="10"/>
      <x:c r="L115" s="10"/>
      <x:c r="M115" s="10"/>
      <x:c r="N115" s="11" t="b">
        <x:v>1</x:v>
      </x:c>
      <x:c r="O115" s="10" t="s">
        <x:v>2156</x:v>
      </x:c>
      <x:c r="P115" s="16"/>
    </x:row>
    <x:row r="116" ht="59.95000076293945" customHeight="1">
      <x:c r="A116" s="13" t="s">
        <x:v>2157</x:v>
      </x:c>
      <x:c r="B116" s="15" t="s">
        <x:v>223</x:v>
      </x:c>
      <x:c r="C116" s="7" t="s">
        <x:v>102</x:v>
      </x:c>
      <x:c r="D116" s="7" t="s">
        <x:v>230</x:v>
      </x:c>
      <x:c r="E116" s="7"/>
      <x:c r="F116" s="7"/>
      <x:c r="G116" s="7" t="s">
        <x:v>1796</x:v>
      </x:c>
      <x:c r="H116" s="7" t="s">
        <x:v>1797</x:v>
      </x:c>
      <x:c r="I116" s="7"/>
      <x:c r="J116" s="7"/>
      <x:c r="K116" s="7"/>
      <x:c r="L116" s="7"/>
      <x:c r="M116" s="7"/>
      <x:c r="N116" s="8" t="b">
        <x:v>1</x:v>
      </x:c>
      <x:c r="O116" s="7" t="s">
        <x:v>2158</x:v>
      </x:c>
      <x:c r="P116" s="15"/>
    </x:row>
    <x:row r="117" ht="46.599998474121094" customHeight="1">
      <x:c r="A117" s="14" t="s">
        <x:v>2159</x:v>
      </x:c>
      <x:c r="B117" s="16" t="s">
        <x:v>237</x:v>
      </x:c>
      <x:c r="C117" s="10" t="s">
        <x:v>102</x:v>
      </x:c>
      <x:c r="D117" s="10" t="s">
        <x:v>245</x:v>
      </x:c>
      <x:c r="E117" s="10"/>
      <x:c r="F117" s="10"/>
      <x:c r="G117" s="10" t="s">
        <x:v>1796</x:v>
      </x:c>
      <x:c r="H117" s="10" t="s">
        <x:v>1797</x:v>
      </x:c>
      <x:c r="I117" s="10"/>
      <x:c r="J117" s="10"/>
      <x:c r="K117" s="10"/>
      <x:c r="L117" s="10"/>
      <x:c r="M117" s="10"/>
      <x:c r="N117" s="11" t="b">
        <x:v>1</x:v>
      </x:c>
      <x:c r="O117" s="10" t="s">
        <x:v>2160</x:v>
      </x:c>
      <x:c r="P117" s="16"/>
    </x:row>
    <x:row r="118" ht="59.95000076293945" customHeight="1">
      <x:c r="A118" s="13" t="s">
        <x:v>2161</x:v>
      </x:c>
      <x:c r="B118" s="15" t="s">
        <x:v>252</x:v>
      </x:c>
      <x:c r="C118" s="7" t="s">
        <x:v>102</x:v>
      </x:c>
      <x:c r="D118" s="7" t="s">
        <x:v>260</x:v>
      </x:c>
      <x:c r="E118" s="7"/>
      <x:c r="F118" s="7"/>
      <x:c r="G118" s="7" t="s">
        <x:v>1796</x:v>
      </x:c>
      <x:c r="H118" s="7" t="s">
        <x:v>1797</x:v>
      </x:c>
      <x:c r="I118" s="7"/>
      <x:c r="J118" s="7"/>
      <x:c r="K118" s="7"/>
      <x:c r="L118" s="7"/>
      <x:c r="M118" s="7"/>
      <x:c r="N118" s="8" t="b">
        <x:v>1</x:v>
      </x:c>
      <x:c r="O118" s="7" t="s">
        <x:v>2162</x:v>
      </x:c>
      <x:c r="P118" s="15"/>
    </x:row>
    <x:row r="119" ht="46.599998474121094" customHeight="1">
      <x:c r="A119" s="14" t="s">
        <x:v>2163</x:v>
      </x:c>
      <x:c r="B119" s="16" t="s">
        <x:v>267</x:v>
      </x:c>
      <x:c r="C119" s="10" t="s">
        <x:v>102</x:v>
      </x:c>
      <x:c r="D119" s="10" t="s">
        <x:v>274</x:v>
      </x:c>
      <x:c r="E119" s="10"/>
      <x:c r="F119" s="10"/>
      <x:c r="G119" s="10" t="s">
        <x:v>1796</x:v>
      </x:c>
      <x:c r="H119" s="10" t="s">
        <x:v>1797</x:v>
      </x:c>
      <x:c r="I119" s="10"/>
      <x:c r="J119" s="10"/>
      <x:c r="K119" s="10"/>
      <x:c r="L119" s="10"/>
      <x:c r="M119" s="10"/>
      <x:c r="N119" s="11" t="b">
        <x:v>1</x:v>
      </x:c>
      <x:c r="O119" s="10" t="s">
        <x:v>2164</x:v>
      </x:c>
      <x:c r="P119" s="16"/>
    </x:row>
    <x:row r="120" ht="46.599998474121094" customHeight="1">
      <x:c r="A120" s="13" t="s">
        <x:v>2165</x:v>
      </x:c>
      <x:c r="B120" s="15" t="s">
        <x:v>281</x:v>
      </x:c>
      <x:c r="C120" s="7" t="s">
        <x:v>102</x:v>
      </x:c>
      <x:c r="D120" s="7" t="s">
        <x:v>287</x:v>
      </x:c>
      <x:c r="E120" s="7"/>
      <x:c r="F120" s="7"/>
      <x:c r="G120" s="7" t="s">
        <x:v>1796</x:v>
      </x:c>
      <x:c r="H120" s="7" t="s">
        <x:v>1797</x:v>
      </x:c>
      <x:c r="I120" s="7"/>
      <x:c r="J120" s="7"/>
      <x:c r="K120" s="7"/>
      <x:c r="L120" s="7"/>
      <x:c r="M120" s="7"/>
      <x:c r="N120" s="8" t="b">
        <x:v>1</x:v>
      </x:c>
      <x:c r="O120" s="7" t="s">
        <x:v>2166</x:v>
      </x:c>
      <x:c r="P120" s="15"/>
    </x:row>
    <x:row r="121" ht="59.95000076293945" customHeight="1">
      <x:c r="A121" s="14" t="s">
        <x:v>2167</x:v>
      </x:c>
      <x:c r="B121" s="16" t="s">
        <x:v>294</x:v>
      </x:c>
      <x:c r="C121" s="10" t="s">
        <x:v>102</x:v>
      </x:c>
      <x:c r="D121" s="10" t="s">
        <x:v>301</x:v>
      </x:c>
      <x:c r="E121" s="10"/>
      <x:c r="F121" s="10"/>
      <x:c r="G121" s="10" t="s">
        <x:v>1796</x:v>
      </x:c>
      <x:c r="H121" s="10" t="s">
        <x:v>1797</x:v>
      </x:c>
      <x:c r="I121" s="10"/>
      <x:c r="J121" s="10"/>
      <x:c r="K121" s="10"/>
      <x:c r="L121" s="10"/>
      <x:c r="M121" s="10"/>
      <x:c r="N121" s="11" t="b">
        <x:v>1</x:v>
      </x:c>
      <x:c r="O121" s="10" t="s">
        <x:v>2168</x:v>
      </x:c>
      <x:c r="P121" s="16"/>
    </x:row>
    <x:row r="122" ht="46.599998474121094" customHeight="1">
      <x:c r="A122" s="13" t="s">
        <x:v>2169</x:v>
      </x:c>
      <x:c r="B122" s="15" t="s">
        <x:v>307</x:v>
      </x:c>
      <x:c r="C122" s="7" t="s">
        <x:v>102</x:v>
      </x:c>
      <x:c r="D122" s="7" t="s">
        <x:v>314</x:v>
      </x:c>
      <x:c r="E122" s="7"/>
      <x:c r="F122" s="7"/>
      <x:c r="G122" s="7" t="s">
        <x:v>1796</x:v>
      </x:c>
      <x:c r="H122" s="7" t="s">
        <x:v>1797</x:v>
      </x:c>
      <x:c r="I122" s="7"/>
      <x:c r="J122" s="7"/>
      <x:c r="K122" s="7"/>
      <x:c r="L122" s="7"/>
      <x:c r="M122" s="7"/>
      <x:c r="N122" s="8" t="b">
        <x:v>1</x:v>
      </x:c>
      <x:c r="O122" s="7" t="s">
        <x:v>2170</x:v>
      </x:c>
      <x:c r="P122" s="15"/>
    </x:row>
    <x:row r="123" ht="33.29999923706055" customHeight="1">
      <x:c r="A123" s="14" t="s">
        <x:v>2171</x:v>
      </x:c>
      <x:c r="B123" s="16" t="s">
        <x:v>321</x:v>
      </x:c>
      <x:c r="C123" s="10" t="s">
        <x:v>102</x:v>
      </x:c>
      <x:c r="D123" s="10" t="s">
        <x:v>327</x:v>
      </x:c>
      <x:c r="E123" s="10"/>
      <x:c r="F123" s="10"/>
      <x:c r="G123" s="10" t="s">
        <x:v>1796</x:v>
      </x:c>
      <x:c r="H123" s="10" t="s">
        <x:v>1797</x:v>
      </x:c>
      <x:c r="I123" s="10"/>
      <x:c r="J123" s="10"/>
      <x:c r="K123" s="10"/>
      <x:c r="L123" s="10"/>
      <x:c r="M123" s="10"/>
      <x:c r="N123" s="11" t="b">
        <x:v>1</x:v>
      </x:c>
      <x:c r="O123" s="10" t="s">
        <x:v>2172</x:v>
      </x:c>
      <x:c r="P123" s="16"/>
    </x:row>
    <x:row r="124" ht="33.29999923706055" customHeight="1">
      <x:c r="A124" s="13" t="s">
        <x:v>2173</x:v>
      </x:c>
      <x:c r="B124" s="15" t="s">
        <x:v>331</x:v>
      </x:c>
      <x:c r="C124" s="7" t="s">
        <x:v>102</x:v>
      </x:c>
      <x:c r="D124" s="7" t="s">
        <x:v>327</x:v>
      </x:c>
      <x:c r="E124" s="7"/>
      <x:c r="F124" s="7"/>
      <x:c r="G124" s="7" t="s">
        <x:v>1796</x:v>
      </x:c>
      <x:c r="H124" s="7" t="s">
        <x:v>1797</x:v>
      </x:c>
      <x:c r="I124" s="7"/>
      <x:c r="J124" s="7"/>
      <x:c r="K124" s="7"/>
      <x:c r="L124" s="7"/>
      <x:c r="M124" s="7"/>
      <x:c r="N124" s="8" t="b">
        <x:v>1</x:v>
      </x:c>
      <x:c r="O124" s="7" t="s">
        <x:v>2174</x:v>
      </x:c>
      <x:c r="P124" s="15"/>
    </x:row>
    <x:row r="125" ht="46.599998474121094" customHeight="1">
      <x:c r="A125" s="14" t="s">
        <x:v>2175</x:v>
      </x:c>
      <x:c r="B125" s="16" t="s">
        <x:v>338</x:v>
      </x:c>
      <x:c r="C125" s="10" t="s">
        <x:v>102</x:v>
      </x:c>
      <x:c r="D125" s="10" t="s">
        <x:v>344</x:v>
      </x:c>
      <x:c r="E125" s="10"/>
      <x:c r="F125" s="10"/>
      <x:c r="G125" s="10" t="s">
        <x:v>1796</x:v>
      </x:c>
      <x:c r="H125" s="10" t="s">
        <x:v>1797</x:v>
      </x:c>
      <x:c r="I125" s="10"/>
      <x:c r="J125" s="10"/>
      <x:c r="K125" s="10"/>
      <x:c r="L125" s="10"/>
      <x:c r="M125" s="10"/>
      <x:c r="N125" s="11" t="b">
        <x:v>1</x:v>
      </x:c>
      <x:c r="O125" s="10" t="s">
        <x:v>2176</x:v>
      </x:c>
      <x:c r="P125" s="16"/>
    </x:row>
    <x:row r="126" ht="46.599998474121094" customHeight="1">
      <x:c r="A126" s="13" t="s">
        <x:v>2177</x:v>
      </x:c>
      <x:c r="B126" s="15" t="s">
        <x:v>349</x:v>
      </x:c>
      <x:c r="C126" s="7" t="s">
        <x:v>102</x:v>
      </x:c>
      <x:c r="D126" s="7" t="s">
        <x:v>356</x:v>
      </x:c>
      <x:c r="E126" s="7"/>
      <x:c r="F126" s="7"/>
      <x:c r="G126" s="7" t="s">
        <x:v>1796</x:v>
      </x:c>
      <x:c r="H126" s="7" t="s">
        <x:v>1797</x:v>
      </x:c>
      <x:c r="I126" s="7"/>
      <x:c r="J126" s="7"/>
      <x:c r="K126" s="7"/>
      <x:c r="L126" s="7"/>
      <x:c r="M126" s="7"/>
      <x:c r="N126" s="8" t="b">
        <x:v>1</x:v>
      </x:c>
      <x:c r="O126" s="7" t="s">
        <x:v>2178</x:v>
      </x:c>
      <x:c r="P126" s="15"/>
    </x:row>
    <x:row r="127" ht="46.599998474121094" customHeight="1">
      <x:c r="A127" s="14" t="s">
        <x:v>2179</x:v>
      </x:c>
      <x:c r="B127" s="16" t="s">
        <x:v>360</x:v>
      </x:c>
      <x:c r="C127" s="10" t="s">
        <x:v>102</x:v>
      </x:c>
      <x:c r="D127" s="10" t="s">
        <x:v>366</x:v>
      </x:c>
      <x:c r="E127" s="10"/>
      <x:c r="F127" s="10"/>
      <x:c r="G127" s="10" t="s">
        <x:v>1796</x:v>
      </x:c>
      <x:c r="H127" s="10" t="s">
        <x:v>1797</x:v>
      </x:c>
      <x:c r="I127" s="10"/>
      <x:c r="J127" s="10"/>
      <x:c r="K127" s="10"/>
      <x:c r="L127" s="10"/>
      <x:c r="M127" s="10"/>
      <x:c r="N127" s="11" t="b">
        <x:v>1</x:v>
      </x:c>
      <x:c r="O127" s="10" t="s">
        <x:v>2180</x:v>
      </x:c>
      <x:c r="P127" s="16"/>
    </x:row>
    <x:row r="128" ht="33.29999923706055" customHeight="1">
      <x:c r="A128" s="13" t="s">
        <x:v>2181</x:v>
      </x:c>
      <x:c r="B128" s="15" t="s">
        <x:v>370</x:v>
      </x:c>
      <x:c r="C128" s="7" t="s">
        <x:v>102</x:v>
      </x:c>
      <x:c r="D128" s="7" t="s">
        <x:v>377</x:v>
      </x:c>
      <x:c r="E128" s="7"/>
      <x:c r="F128" s="7"/>
      <x:c r="G128" s="7" t="s">
        <x:v>1796</x:v>
      </x:c>
      <x:c r="H128" s="7" t="s">
        <x:v>1797</x:v>
      </x:c>
      <x:c r="I128" s="7"/>
      <x:c r="J128" s="7"/>
      <x:c r="K128" s="7"/>
      <x:c r="L128" s="7"/>
      <x:c r="M128" s="7"/>
      <x:c r="N128" s="8" t="b">
        <x:v>1</x:v>
      </x:c>
      <x:c r="O128" s="7" t="s">
        <x:v>2182</x:v>
      </x:c>
      <x:c r="P128" s="15"/>
    </x:row>
    <x:row r="129" ht="33.29999923706055" customHeight="1">
      <x:c r="A129" s="14" t="s">
        <x:v>2183</x:v>
      </x:c>
      <x:c r="B129" s="16" t="s">
        <x:v>384</x:v>
      </x:c>
      <x:c r="C129" s="10" t="s">
        <x:v>102</x:v>
      </x:c>
      <x:c r="D129" s="10" t="s">
        <x:v>388</x:v>
      </x:c>
      <x:c r="E129" s="10"/>
      <x:c r="F129" s="10"/>
      <x:c r="G129" s="10" t="s">
        <x:v>1796</x:v>
      </x:c>
      <x:c r="H129" s="10" t="s">
        <x:v>1797</x:v>
      </x:c>
      <x:c r="I129" s="10"/>
      <x:c r="J129" s="10"/>
      <x:c r="K129" s="10"/>
      <x:c r="L129" s="10"/>
      <x:c r="M129" s="10"/>
      <x:c r="N129" s="11" t="b">
        <x:v>1</x:v>
      </x:c>
      <x:c r="O129" s="10" t="s">
        <x:v>2184</x:v>
      </x:c>
      <x:c r="P129" s="16"/>
    </x:row>
    <x:row r="130" ht="46.599998474121094" customHeight="1">
      <x:c r="A130" s="13" t="s">
        <x:v>2185</x:v>
      </x:c>
      <x:c r="B130" s="15" t="s">
        <x:v>392</x:v>
      </x:c>
      <x:c r="C130" s="7" t="s">
        <x:v>102</x:v>
      </x:c>
      <x:c r="D130" s="7" t="s">
        <x:v>397</x:v>
      </x:c>
      <x:c r="E130" s="7"/>
      <x:c r="F130" s="7"/>
      <x:c r="G130" s="7" t="s">
        <x:v>1796</x:v>
      </x:c>
      <x:c r="H130" s="7" t="s">
        <x:v>1797</x:v>
      </x:c>
      <x:c r="I130" s="7"/>
      <x:c r="J130" s="7"/>
      <x:c r="K130" s="7"/>
      <x:c r="L130" s="7"/>
      <x:c r="M130" s="7"/>
      <x:c r="N130" s="8" t="b">
        <x:v>1</x:v>
      </x:c>
      <x:c r="O130" s="7" t="s">
        <x:v>2186</x:v>
      </x:c>
      <x:c r="P130" s="15"/>
    </x:row>
    <x:row r="131" ht="33.29999923706055" customHeight="1">
      <x:c r="A131" s="14" t="s">
        <x:v>2187</x:v>
      </x:c>
      <x:c r="B131" s="16" t="s">
        <x:v>835</x:v>
      </x:c>
      <x:c r="C131" s="10" t="s">
        <x:v>102</x:v>
      </x:c>
      <x:c r="D131" s="10" t="s">
        <x:v>841</x:v>
      </x:c>
      <x:c r="E131" s="10"/>
      <x:c r="F131" s="10"/>
      <x:c r="G131" s="10" t="s">
        <x:v>1796</x:v>
      </x:c>
      <x:c r="H131" s="10" t="s">
        <x:v>1797</x:v>
      </x:c>
      <x:c r="I131" s="10"/>
      <x:c r="J131" s="10"/>
      <x:c r="K131" s="10"/>
      <x:c r="L131" s="10"/>
      <x:c r="M131" s="10"/>
      <x:c r="N131" s="11" t="b">
        <x:v>1</x:v>
      </x:c>
      <x:c r="O131" s="10" t="s">
        <x:v>2188</x:v>
      </x:c>
      <x:c r="P131" s="16"/>
    </x:row>
    <x:row r="132" ht="46.599998474121094" customHeight="1">
      <x:c r="A132" s="13" t="s">
        <x:v>2189</x:v>
      </x:c>
      <x:c r="B132" s="15" t="s">
        <x:v>846</x:v>
      </x:c>
      <x:c r="C132" s="7" t="s">
        <x:v>102</x:v>
      </x:c>
      <x:c r="D132" s="7" t="s">
        <x:v>855</x:v>
      </x:c>
      <x:c r="E132" s="7"/>
      <x:c r="F132" s="7"/>
      <x:c r="G132" s="7" t="s">
        <x:v>1796</x:v>
      </x:c>
      <x:c r="H132" s="7" t="s">
        <x:v>1797</x:v>
      </x:c>
      <x:c r="I132" s="7"/>
      <x:c r="J132" s="7"/>
      <x:c r="K132" s="7"/>
      <x:c r="L132" s="7"/>
      <x:c r="M132" s="7"/>
      <x:c r="N132" s="8" t="b">
        <x:v>1</x:v>
      </x:c>
      <x:c r="O132" s="7" t="s">
        <x:v>2190</x:v>
      </x:c>
      <x:c r="P132" s="15"/>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18" customWidth="1"/>
    <x:col min="2" max="2" width="33" customWidth="1"/>
    <x:col min="3" max="3" width="19" customWidth="1"/>
    <x:col min="4" max="4" width="30" customWidth="1"/>
    <x:col min="5" max="5" width="48" customWidth="1"/>
    <x:col min="6" max="6" width="68" customWidth="1"/>
    <x:col min="7" max="7" width="35" customWidth="1"/>
    <x:col min="8" max="8" width="96" customWidth="1"/>
  </x:cols>
  <x:sheetData>
    <x:row r="1" ht="42" customHeight="1">
      <x:c r="A1" s="2" t="s">
        <x:v>2191</x:v>
      </x:c>
      <x:c r="B1" s="2" t="s">
        <x:v>2192</x:v>
      </x:c>
      <x:c r="C1" s="2" t="s">
        <x:v>81</x:v>
      </x:c>
      <x:c r="D1" s="2" t="s">
        <x:v>2193</x:v>
      </x:c>
      <x:c r="E1" s="2" t="s">
        <x:v>2194</x:v>
      </x:c>
      <x:c r="F1" s="2" t="s">
        <x:v>2195</x:v>
      </x:c>
      <x:c r="G1" s="2" t="s">
        <x:v>2196</x:v>
      </x:c>
      <x:c r="H1" s="2" t="s">
        <x:v>893</x:v>
      </x:c>
    </x:row>
    <x:row r="2" ht="33.29999923706055" customHeight="1">
      <x:c r="A2" s="6" t="s">
        <x:v>11</x:v>
      </x:c>
      <x:c r="B2" s="7" t="s">
        <x:v>114</x:v>
      </x:c>
      <x:c r="C2" s="15" t="s">
        <x:v>114</x:v>
      </x:c>
      <x:c r="D2" s="7" t="s">
        <x:v>2197</x:v>
      </x:c>
      <x:c r="E2" s="15" t="s">
        <x:v>2198</x:v>
      </x:c>
      <x:c r="F2" s="7" t="s">
        <x:v>2199</x:v>
      </x:c>
      <x:c r="G2" s="7" t="s">
        <x:v>2200</x:v>
      </x:c>
      <x:c r="H2" s="7"/>
    </x:row>
    <x:row r="3" ht="33.29999923706055" customHeight="1">
      <x:c r="A3" s="9" t="s">
        <x:v>11</x:v>
      </x:c>
      <x:c r="B3" s="10" t="s">
        <x:v>114</x:v>
      </x:c>
      <x:c r="C3" s="16" t="s">
        <x:v>114</x:v>
      </x:c>
      <x:c r="D3" s="10" t="s">
        <x:v>1209</x:v>
      </x:c>
      <x:c r="E3" s="16" t="s">
        <x:v>1210</x:v>
      </x:c>
      <x:c r="F3" s="10" t="s">
        <x:v>1971</x:v>
      </x:c>
      <x:c r="G3" s="10" t="s">
        <x:v>2200</x:v>
      </x:c>
      <x:c r="H3" s="10"/>
    </x:row>
    <x:row r="4" ht="33.29999923706055" customHeight="1">
      <x:c r="A4" s="6" t="s">
        <x:v>11</x:v>
      </x:c>
      <x:c r="B4" s="7" t="s">
        <x:v>114</x:v>
      </x:c>
      <x:c r="C4" s="15" t="s">
        <x:v>114</x:v>
      </x:c>
      <x:c r="D4" s="7" t="s">
        <x:v>2201</x:v>
      </x:c>
      <x:c r="E4" s="15" t="s">
        <x:v>2202</x:v>
      </x:c>
      <x:c r="F4" s="7" t="s">
        <x:v>2203</x:v>
      </x:c>
      <x:c r="G4" s="7" t="s">
        <x:v>2204</x:v>
      </x:c>
      <x:c r="H4" s="7" t="s">
        <x:v>2205</x:v>
      </x:c>
    </x:row>
    <x:row r="5" ht="33.29999923706055" customHeight="1">
      <x:c r="A5" s="9" t="s">
        <x:v>11</x:v>
      </x:c>
      <x:c r="B5" s="10" t="s">
        <x:v>135</x:v>
      </x:c>
      <x:c r="C5" s="16" t="s">
        <x:v>135</x:v>
      </x:c>
      <x:c r="D5" s="10" t="s">
        <x:v>2206</x:v>
      </x:c>
      <x:c r="E5" s="16" t="s">
        <x:v>2207</x:v>
      </x:c>
      <x:c r="F5" s="10" t="s">
        <x:v>2208</x:v>
      </x:c>
      <x:c r="G5" s="10" t="s">
        <x:v>2200</x:v>
      </x:c>
      <x:c r="H5" s="10"/>
    </x:row>
    <x:row r="6" ht="33.29999923706055" customHeight="1">
      <x:c r="A6" s="6" t="s">
        <x:v>11</x:v>
      </x:c>
      <x:c r="B6" s="7" t="s">
        <x:v>135</x:v>
      </x:c>
      <x:c r="C6" s="15" t="s">
        <x:v>135</x:v>
      </x:c>
      <x:c r="D6" s="7" t="s">
        <x:v>2209</x:v>
      </x:c>
      <x:c r="E6" s="15" t="s">
        <x:v>2210</x:v>
      </x:c>
      <x:c r="F6" s="7" t="s">
        <x:v>2211</x:v>
      </x:c>
      <x:c r="G6" s="7" t="s">
        <x:v>2200</x:v>
      </x:c>
      <x:c r="H6" s="7"/>
    </x:row>
    <x:row r="7" ht="33.29999923706055" customHeight="1">
      <x:c r="A7" s="9" t="s">
        <x:v>11</x:v>
      </x:c>
      <x:c r="B7" s="10" t="s">
        <x:v>135</x:v>
      </x:c>
      <x:c r="C7" s="16" t="s">
        <x:v>135</x:v>
      </x:c>
      <x:c r="D7" s="10" t="s">
        <x:v>2212</x:v>
      </x:c>
      <x:c r="E7" s="16" t="s">
        <x:v>2213</x:v>
      </x:c>
      <x:c r="F7" s="10" t="s">
        <x:v>2214</x:v>
      </x:c>
      <x:c r="G7" s="10" t="s">
        <x:v>2200</x:v>
      </x:c>
      <x:c r="H7" s="10"/>
    </x:row>
    <x:row r="8" ht="33.29999923706055" customHeight="1">
      <x:c r="A8" s="6" t="s">
        <x:v>11</x:v>
      </x:c>
      <x:c r="B8" s="7" t="s">
        <x:v>150</x:v>
      </x:c>
      <x:c r="C8" s="15" t="s">
        <x:v>150</x:v>
      </x:c>
      <x:c r="D8" s="7" t="s">
        <x:v>1302</x:v>
      </x:c>
      <x:c r="E8" s="15" t="s">
        <x:v>1303</x:v>
      </x:c>
      <x:c r="F8" s="7" t="s">
        <x:v>2054</x:v>
      </x:c>
      <x:c r="G8" s="7" t="s">
        <x:v>2200</x:v>
      </x:c>
      <x:c r="H8" s="7"/>
    </x:row>
    <x:row r="9" ht="33.29999923706055" customHeight="1">
      <x:c r="A9" s="9" t="s">
        <x:v>11</x:v>
      </x:c>
      <x:c r="B9" s="10" t="s">
        <x:v>150</x:v>
      </x:c>
      <x:c r="C9" s="16" t="s">
        <x:v>150</x:v>
      </x:c>
      <x:c r="D9" s="10" t="s">
        <x:v>2215</x:v>
      </x:c>
      <x:c r="E9" s="16" t="s">
        <x:v>2216</x:v>
      </x:c>
      <x:c r="F9" s="10" t="s">
        <x:v>2217</x:v>
      </x:c>
      <x:c r="G9" s="10" t="s">
        <x:v>2200</x:v>
      </x:c>
      <x:c r="H9" s="10"/>
    </x:row>
    <x:row r="10" ht="33.29999923706055" customHeight="1">
      <x:c r="A10" s="6" t="s">
        <x:v>11</x:v>
      </x:c>
      <x:c r="B10" s="7" t="s">
        <x:v>164</x:v>
      </x:c>
      <x:c r="C10" s="15" t="s">
        <x:v>164</x:v>
      </x:c>
      <x:c r="D10" s="7" t="s">
        <x:v>1041</x:v>
      </x:c>
      <x:c r="E10" s="15" t="s">
        <x:v>177</x:v>
      </x:c>
      <x:c r="F10" s="7" t="s">
        <x:v>1874</x:v>
      </x:c>
      <x:c r="G10" s="7" t="s">
        <x:v>2200</x:v>
      </x:c>
      <x:c r="H10" s="7"/>
    </x:row>
    <x:row r="11" ht="33.29999923706055" customHeight="1">
      <x:c r="A11" s="9" t="s">
        <x:v>11</x:v>
      </x:c>
      <x:c r="B11" s="10" t="s">
        <x:v>178</x:v>
      </x:c>
      <x:c r="C11" s="16" t="s">
        <x:v>178</x:v>
      </x:c>
      <x:c r="D11" s="10" t="s">
        <x:v>1084</x:v>
      </x:c>
      <x:c r="E11" s="16" t="s">
        <x:v>191</x:v>
      </x:c>
      <x:c r="F11" s="10" t="s">
        <x:v>1899</x:v>
      </x:c>
      <x:c r="G11" s="10" t="s">
        <x:v>2200</x:v>
      </x:c>
      <x:c r="H11" s="10"/>
    </x:row>
    <x:row r="12" ht="46.599998474121094" customHeight="1">
      <x:c r="A12" s="6" t="s">
        <x:v>11</x:v>
      </x:c>
      <x:c r="B12" s="7" t="s">
        <x:v>192</x:v>
      </x:c>
      <x:c r="C12" s="15" t="s">
        <x:v>192</x:v>
      </x:c>
      <x:c r="D12" s="7" t="s">
        <x:v>1094</x:v>
      </x:c>
      <x:c r="E12" s="15" t="s">
        <x:v>207</x:v>
      </x:c>
      <x:c r="F12" s="7" t="s">
        <x:v>1906</x:v>
      </x:c>
      <x:c r="G12" s="7" t="s">
        <x:v>2200</x:v>
      </x:c>
      <x:c r="H12" s="7"/>
    </x:row>
    <x:row r="13" ht="33.29999923706055" customHeight="1">
      <x:c r="A13" s="9" t="s">
        <x:v>11</x:v>
      </x:c>
      <x:c r="B13" s="10" t="s">
        <x:v>208</x:v>
      </x:c>
      <x:c r="C13" s="16" t="s">
        <x:v>208</x:v>
      </x:c>
      <x:c r="D13" s="10" t="s">
        <x:v>2218</x:v>
      </x:c>
      <x:c r="E13" s="16" t="s">
        <x:v>222</x:v>
      </x:c>
      <x:c r="F13" s="10" t="s">
        <x:v>2219</x:v>
      </x:c>
      <x:c r="G13" s="10" t="s">
        <x:v>2200</x:v>
      </x:c>
      <x:c r="H13" s="10"/>
    </x:row>
    <x:row r="14" ht="46.599998474121094" customHeight="1">
      <x:c r="A14" s="6" t="s">
        <x:v>11</x:v>
      </x:c>
      <x:c r="B14" s="7" t="s">
        <x:v>223</x:v>
      </x:c>
      <x:c r="C14" s="15" t="s">
        <x:v>223</x:v>
      </x:c>
      <x:c r="D14" s="7" t="s">
        <x:v>2220</x:v>
      </x:c>
      <x:c r="E14" s="15" t="s">
        <x:v>236</x:v>
      </x:c>
      <x:c r="F14" s="7" t="s">
        <x:v>2221</x:v>
      </x:c>
      <x:c r="G14" s="7" t="s">
        <x:v>2222</x:v>
      </x:c>
      <x:c r="H14" s="7" t="s">
        <x:v>2223</x:v>
      </x:c>
    </x:row>
    <x:row r="15" ht="33.29999923706055" customHeight="1">
      <x:c r="A15" s="9" t="s">
        <x:v>11</x:v>
      </x:c>
      <x:c r="B15" s="10" t="s">
        <x:v>237</x:v>
      </x:c>
      <x:c r="C15" s="16" t="s">
        <x:v>237</x:v>
      </x:c>
      <x:c r="D15" s="10" t="s">
        <x:v>2224</x:v>
      </x:c>
      <x:c r="E15" s="16" t="s">
        <x:v>251</x:v>
      </x:c>
      <x:c r="F15" s="10" t="s">
        <x:v>2225</x:v>
      </x:c>
      <x:c r="G15" s="10" t="s">
        <x:v>2226</x:v>
      </x:c>
      <x:c r="H15" s="10" t="s">
        <x:v>2227</x:v>
      </x:c>
    </x:row>
    <x:row r="16" ht="33.29999923706055" customHeight="1">
      <x:c r="A16" s="6" t="s">
        <x:v>11</x:v>
      </x:c>
      <x:c r="B16" s="7" t="s">
        <x:v>252</x:v>
      </x:c>
      <x:c r="C16" s="15" t="s">
        <x:v>252</x:v>
      </x:c>
      <x:c r="D16" s="7" t="s">
        <x:v>1130</x:v>
      </x:c>
      <x:c r="E16" s="15" t="s">
        <x:v>266</x:v>
      </x:c>
      <x:c r="F16" s="7" t="s">
        <x:v>1926</x:v>
      </x:c>
      <x:c r="G16" s="7" t="s">
        <x:v>2200</x:v>
      </x:c>
      <x:c r="H16" s="7"/>
    </x:row>
    <x:row r="17" ht="33.29999923706055" customHeight="1">
      <x:c r="A17" s="9" t="s">
        <x:v>11</x:v>
      </x:c>
      <x:c r="B17" s="10" t="s">
        <x:v>267</x:v>
      </x:c>
      <x:c r="C17" s="16" t="s">
        <x:v>267</x:v>
      </x:c>
      <x:c r="D17" s="10" t="s">
        <x:v>1141</x:v>
      </x:c>
      <x:c r="E17" s="16" t="s">
        <x:v>280</x:v>
      </x:c>
      <x:c r="F17" s="10" t="s">
        <x:v>1933</x:v>
      </x:c>
      <x:c r="G17" s="10" t="s">
        <x:v>2200</x:v>
      </x:c>
      <x:c r="H17" s="10"/>
    </x:row>
    <x:row r="18" ht="33.29999923706055" customHeight="1">
      <x:c r="A18" s="6" t="s">
        <x:v>11</x:v>
      </x:c>
      <x:c r="B18" s="7" t="s">
        <x:v>294</x:v>
      </x:c>
      <x:c r="C18" s="15" t="s">
        <x:v>294</x:v>
      </x:c>
      <x:c r="D18" s="7" t="s">
        <x:v>1398</x:v>
      </x:c>
      <x:c r="E18" s="15" t="s">
        <x:v>306</x:v>
      </x:c>
      <x:c r="F18" s="7" t="s">
        <x:v>1940</x:v>
      </x:c>
      <x:c r="G18" s="7" t="s">
        <x:v>2200</x:v>
      </x:c>
      <x:c r="H18" s="7"/>
    </x:row>
    <x:row r="19" ht="46.599998474121094" customHeight="1">
      <x:c r="A19" s="9" t="s">
        <x:v>11</x:v>
      </x:c>
      <x:c r="B19" s="10" t="s">
        <x:v>307</x:v>
      </x:c>
      <x:c r="C19" s="16" t="s">
        <x:v>307</x:v>
      </x:c>
      <x:c r="D19" s="10" t="s">
        <x:v>1155</x:v>
      </x:c>
      <x:c r="E19" s="16" t="s">
        <x:v>320</x:v>
      </x:c>
      <x:c r="F19" s="10" t="s">
        <x:v>1944</x:v>
      </x:c>
      <x:c r="G19" s="10" t="s">
        <x:v>2200</x:v>
      </x:c>
      <x:c r="H19" s="10"/>
    </x:row>
    <x:row r="20" ht="33.29999923706055" customHeight="1">
      <x:c r="A20" s="6" t="s">
        <x:v>11</x:v>
      </x:c>
      <x:c r="B20" s="7" t="s">
        <x:v>338</x:v>
      </x:c>
      <x:c r="C20" s="15" t="s">
        <x:v>338</x:v>
      </x:c>
      <x:c r="D20" s="7" t="s">
        <x:v>2228</x:v>
      </x:c>
      <x:c r="E20" s="15" t="s">
        <x:v>348</x:v>
      </x:c>
      <x:c r="F20" s="7" t="s">
        <x:v>2229</x:v>
      </x:c>
      <x:c r="G20" s="7" t="s">
        <x:v>2200</x:v>
      </x:c>
      <x:c r="H20" s="7"/>
    </x:row>
    <x:row r="21" ht="33.29999923706055" customHeight="1">
      <x:c r="A21" s="9" t="s">
        <x:v>11</x:v>
      </x:c>
      <x:c r="B21" s="10" t="s">
        <x:v>349</x:v>
      </x:c>
      <x:c r="C21" s="16" t="s">
        <x:v>349</x:v>
      </x:c>
      <x:c r="D21" s="10" t="s">
        <x:v>2230</x:v>
      </x:c>
      <x:c r="E21" s="16" t="s">
        <x:v>207</x:v>
      </x:c>
      <x:c r="F21" s="10" t="s">
        <x:v>1906</x:v>
      </x:c>
      <x:c r="G21" s="10" t="s">
        <x:v>2200</x:v>
      </x:c>
      <x:c r="H21" s="10"/>
    </x:row>
    <x:row r="22" ht="33.29999923706055" customHeight="1">
      <x:c r="A22" s="6" t="s">
        <x:v>11</x:v>
      </x:c>
      <x:c r="B22" s="7" t="s">
        <x:v>370</x:v>
      </x:c>
      <x:c r="C22" s="15" t="s">
        <x:v>370</x:v>
      </x:c>
      <x:c r="D22" s="7" t="s">
        <x:v>2231</x:v>
      </x:c>
      <x:c r="E22" s="15" t="s">
        <x:v>2232</x:v>
      </x:c>
      <x:c r="F22" s="7" t="s">
        <x:v>2233</x:v>
      </x:c>
      <x:c r="G22" s="7" t="s">
        <x:v>2200</x:v>
      </x:c>
      <x:c r="H22" s="7"/>
    </x:row>
    <x:row r="23" ht="33.29999923706055" customHeight="1">
      <x:c r="A23" s="9" t="s">
        <x:v>11</x:v>
      </x:c>
      <x:c r="B23" s="10" t="s">
        <x:v>370</x:v>
      </x:c>
      <x:c r="C23" s="16" t="s">
        <x:v>370</x:v>
      </x:c>
      <x:c r="D23" s="10" t="s">
        <x:v>1416</x:v>
      </x:c>
      <x:c r="E23" s="16" t="s">
        <x:v>1417</x:v>
      </x:c>
      <x:c r="F23" s="10" t="s">
        <x:v>2141</x:v>
      </x:c>
      <x:c r="G23" s="10" t="s">
        <x:v>2200</x:v>
      </x:c>
      <x:c r="H23" s="10"/>
    </x:row>
    <x:row r="24" ht="46.599998474121094" customHeight="1">
      <x:c r="A24" s="6" t="s">
        <x:v>11</x:v>
      </x:c>
      <x:c r="B24" s="7" t="s">
        <x:v>430</x:v>
      </x:c>
      <x:c r="C24" s="15" t="s">
        <x:v>430</x:v>
      </x:c>
      <x:c r="D24" s="7" t="s">
        <x:v>2234</x:v>
      </x:c>
      <x:c r="E24" s="15" t="s">
        <x:v>439</x:v>
      </x:c>
      <x:c r="F24" s="7" t="s">
        <x:v>2235</x:v>
      </x:c>
      <x:c r="G24" s="7" t="s">
        <x:v>2236</x:v>
      </x:c>
      <x:c r="H24" s="7" t="s">
        <x:v>2237</x:v>
      </x:c>
    </x:row>
    <x:row r="25" ht="33.29999923706055" customHeight="1">
      <x:c r="A25" s="9" t="s">
        <x:v>11</x:v>
      </x:c>
      <x:c r="B25" s="10" t="s">
        <x:v>713</x:v>
      </x:c>
      <x:c r="C25" s="16" t="s">
        <x:v>713</x:v>
      </x:c>
      <x:c r="D25" s="10" t="s">
        <x:v>2238</x:v>
      </x:c>
      <x:c r="E25" s="16" t="s">
        <x:v>724</x:v>
      </x:c>
      <x:c r="F25" s="10" t="s">
        <x:v>2239</x:v>
      </x:c>
      <x:c r="G25" s="10" t="s">
        <x:v>2200</x:v>
      </x:c>
      <x:c r="H25" s="10"/>
    </x:row>
    <x:row r="26" ht="46.599998474121094" customHeight="1">
      <x:c r="A26" s="6" t="s">
        <x:v>11</x:v>
      </x:c>
      <x:c r="B26" s="7" t="s">
        <x:v>725</x:v>
      </x:c>
      <x:c r="C26" s="15" t="s">
        <x:v>725</x:v>
      </x:c>
      <x:c r="D26" s="7" t="s">
        <x:v>2240</x:v>
      </x:c>
      <x:c r="E26" s="15" t="s">
        <x:v>733</x:v>
      </x:c>
      <x:c r="F26" s="7" t="s">
        <x:v>2241</x:v>
      </x:c>
      <x:c r="G26" s="7" t="s">
        <x:v>2242</x:v>
      </x:c>
      <x:c r="H26" s="7" t="s">
        <x:v>2243</x:v>
      </x:c>
    </x:row>
    <x:row r="27" ht="33.29999923706055" customHeight="1">
      <x:c r="A27" s="9" t="s">
        <x:v>11</x:v>
      </x:c>
      <x:c r="B27" s="10" t="s">
        <x:v>835</x:v>
      </x:c>
      <x:c r="C27" s="16" t="s">
        <x:v>835</x:v>
      </x:c>
      <x:c r="D27" s="10" t="s">
        <x:v>2240</x:v>
      </x:c>
      <x:c r="E27" s="16" t="s">
        <x:v>733</x:v>
      </x:c>
      <x:c r="F27" s="10" t="s">
        <x:v>2241</x:v>
      </x:c>
      <x:c r="G27" s="10" t="s">
        <x:v>2200</x:v>
      </x:c>
      <x:c r="H27" s="10"/>
    </x:row>
    <x:row r="28" ht="33.29999923706055" customHeight="1">
      <x:c r="A28" s="6" t="s">
        <x:v>11</x:v>
      </x:c>
      <x:c r="B28" s="7" t="s">
        <x:v>846</x:v>
      </x:c>
      <x:c r="C28" s="15" t="s">
        <x:v>846</x:v>
      </x:c>
      <x:c r="D28" s="7" t="s">
        <x:v>1180</x:v>
      </x:c>
      <x:c r="E28" s="15" t="s">
        <x:v>860</x:v>
      </x:c>
      <x:c r="F28" s="7" t="s">
        <x:v>1960</x:v>
      </x:c>
      <x:c r="G28" s="7" t="s">
        <x:v>2200</x:v>
      </x:c>
      <x:c r="H28" s="7"/>
    </x:row>
    <x:row r="29" ht="33.29999923706055" customHeight="1">
      <x:c r="A29" s="9" t="s">
        <x:v>13</x:v>
      </x:c>
      <x:c r="B29" s="10" t="s">
        <x:v>127</x:v>
      </x:c>
      <x:c r="C29" s="16" t="s">
        <x:v>114</x:v>
      </x:c>
      <x:c r="D29" s="10" t="s">
        <x:v>2197</x:v>
      </x:c>
      <x:c r="E29" s="16" t="s">
        <x:v>2198</x:v>
      </x:c>
      <x:c r="F29" s="10" t="s">
        <x:v>2199</x:v>
      </x:c>
      <x:c r="G29" s="10" t="s">
        <x:v>2200</x:v>
      </x:c>
      <x:c r="H29" s="10"/>
    </x:row>
    <x:row r="30" ht="33.29999923706055" customHeight="1">
      <x:c r="A30" s="6" t="s">
        <x:v>13</x:v>
      </x:c>
      <x:c r="B30" s="7" t="s">
        <x:v>127</x:v>
      </x:c>
      <x:c r="C30" s="15" t="s">
        <x:v>114</x:v>
      </x:c>
      <x:c r="D30" s="7" t="s">
        <x:v>1209</x:v>
      </x:c>
      <x:c r="E30" s="15" t="s">
        <x:v>1210</x:v>
      </x:c>
      <x:c r="F30" s="7" t="s">
        <x:v>1971</x:v>
      </x:c>
      <x:c r="G30" s="7" t="s">
        <x:v>2200</x:v>
      </x:c>
      <x:c r="H30" s="7"/>
    </x:row>
    <x:row r="31" ht="33.29999923706055" customHeight="1">
      <x:c r="A31" s="9" t="s">
        <x:v>13</x:v>
      </x:c>
      <x:c r="B31" s="10" t="s">
        <x:v>127</x:v>
      </x:c>
      <x:c r="C31" s="16" t="s">
        <x:v>114</x:v>
      </x:c>
      <x:c r="D31" s="10" t="s">
        <x:v>2244</x:v>
      </x:c>
      <x:c r="E31" s="16" t="s">
        <x:v>2245</x:v>
      </x:c>
      <x:c r="F31" s="10" t="s">
        <x:v>2246</x:v>
      </x:c>
      <x:c r="G31" s="10" t="s">
        <x:v>2200</x:v>
      </x:c>
      <x:c r="H31" s="10"/>
    </x:row>
    <x:row r="32" ht="33.29999923706055" customHeight="1">
      <x:c r="A32" s="6" t="s">
        <x:v>13</x:v>
      </x:c>
      <x:c r="B32" s="7" t="s">
        <x:v>907</x:v>
      </x:c>
      <x:c r="C32" s="15" t="s">
        <x:v>114</x:v>
      </x:c>
      <x:c r="D32" s="7" t="s">
        <x:v>2197</x:v>
      </x:c>
      <x:c r="E32" s="15" t="s">
        <x:v>2198</x:v>
      </x:c>
      <x:c r="F32" s="7" t="s">
        <x:v>2199</x:v>
      </x:c>
      <x:c r="G32" s="7" t="s">
        <x:v>2200</x:v>
      </x:c>
      <x:c r="H32" s="7"/>
    </x:row>
    <x:row r="33" ht="33.29999923706055" customHeight="1">
      <x:c r="A33" s="9" t="s">
        <x:v>13</x:v>
      </x:c>
      <x:c r="B33" s="10" t="s">
        <x:v>907</x:v>
      </x:c>
      <x:c r="C33" s="16" t="s">
        <x:v>114</x:v>
      </x:c>
      <x:c r="D33" s="10" t="s">
        <x:v>1209</x:v>
      </x:c>
      <x:c r="E33" s="16" t="s">
        <x:v>1210</x:v>
      </x:c>
      <x:c r="F33" s="10" t="s">
        <x:v>1971</x:v>
      </x:c>
      <x:c r="G33" s="10" t="s">
        <x:v>2200</x:v>
      </x:c>
      <x:c r="H33" s="10"/>
    </x:row>
    <x:row r="34" ht="33.29999923706055" customHeight="1">
      <x:c r="A34" s="6" t="s">
        <x:v>13</x:v>
      </x:c>
      <x:c r="B34" s="7" t="s">
        <x:v>915</x:v>
      </x:c>
      <x:c r="C34" s="15" t="s">
        <x:v>114</x:v>
      </x:c>
      <x:c r="D34" s="7" t="s">
        <x:v>918</x:v>
      </x:c>
      <x:c r="E34" s="15" t="s">
        <x:v>920</x:v>
      </x:c>
      <x:c r="F34" s="7" t="s">
        <x:v>1804</x:v>
      </x:c>
      <x:c r="G34" s="7" t="s">
        <x:v>2200</x:v>
      </x:c>
      <x:c r="H34" s="7"/>
    </x:row>
    <x:row r="35" ht="33.29999923706055" customHeight="1">
      <x:c r="A35" s="9" t="s">
        <x:v>13</x:v>
      </x:c>
      <x:c r="B35" s="10" t="s">
        <x:v>921</x:v>
      </x:c>
      <x:c r="C35" s="16" t="s">
        <x:v>114</x:v>
      </x:c>
      <x:c r="D35" s="10" t="s">
        <x:v>929</x:v>
      </x:c>
      <x:c r="E35" s="16" t="s">
        <x:v>931</x:v>
      </x:c>
      <x:c r="F35" s="10" t="s">
        <x:v>1808</x:v>
      </x:c>
      <x:c r="G35" s="10" t="s">
        <x:v>2200</x:v>
      </x:c>
      <x:c r="H35" s="10"/>
    </x:row>
    <x:row r="36" ht="33.29999923706055" customHeight="1">
      <x:c r="A36" s="6" t="s">
        <x:v>13</x:v>
      </x:c>
      <x:c r="B36" s="7" t="s">
        <x:v>932</x:v>
      </x:c>
      <x:c r="C36" s="15" t="s">
        <x:v>114</x:v>
      </x:c>
      <x:c r="D36" s="7" t="s">
        <x:v>929</x:v>
      </x:c>
      <x:c r="E36" s="15" t="s">
        <x:v>931</x:v>
      </x:c>
      <x:c r="F36" s="7" t="s">
        <x:v>1808</x:v>
      </x:c>
      <x:c r="G36" s="7" t="s">
        <x:v>2200</x:v>
      </x:c>
      <x:c r="H36" s="7"/>
    </x:row>
    <x:row r="37" ht="33.29999923706055" customHeight="1">
      <x:c r="A37" s="9" t="s">
        <x:v>13</x:v>
      </x:c>
      <x:c r="B37" s="10" t="s">
        <x:v>939</x:v>
      </x:c>
      <x:c r="C37" s="16" t="s">
        <x:v>114</x:v>
      </x:c>
      <x:c r="D37" s="10" t="s">
        <x:v>944</x:v>
      </x:c>
      <x:c r="E37" s="16" t="s">
        <x:v>946</x:v>
      </x:c>
      <x:c r="F37" s="10" t="s">
        <x:v>1815</x:v>
      </x:c>
      <x:c r="G37" s="10" t="s">
        <x:v>2200</x:v>
      </x:c>
      <x:c r="H37" s="10"/>
    </x:row>
    <x:row r="38" ht="33.29999923706055" customHeight="1">
      <x:c r="A38" s="6" t="s">
        <x:v>13</x:v>
      </x:c>
      <x:c r="B38" s="7" t="s">
        <x:v>947</x:v>
      </x:c>
      <x:c r="C38" s="15" t="s">
        <x:v>114</x:v>
      </x:c>
      <x:c r="D38" s="7" t="s">
        <x:v>944</x:v>
      </x:c>
      <x:c r="E38" s="15" t="s">
        <x:v>946</x:v>
      </x:c>
      <x:c r="F38" s="7" t="s">
        <x:v>1815</x:v>
      </x:c>
      <x:c r="G38" s="7" t="s">
        <x:v>2200</x:v>
      </x:c>
      <x:c r="H38" s="7"/>
    </x:row>
    <x:row r="39" ht="33.29999923706055" customHeight="1">
      <x:c r="A39" s="9" t="s">
        <x:v>13</x:v>
      </x:c>
      <x:c r="B39" s="10" t="s">
        <x:v>951</x:v>
      </x:c>
      <x:c r="C39" s="16" t="s">
        <x:v>114</x:v>
      </x:c>
      <x:c r="D39" s="10" t="s">
        <x:v>944</x:v>
      </x:c>
      <x:c r="E39" s="16" t="s">
        <x:v>946</x:v>
      </x:c>
      <x:c r="F39" s="10" t="s">
        <x:v>1815</x:v>
      </x:c>
      <x:c r="G39" s="10" t="s">
        <x:v>2200</x:v>
      </x:c>
      <x:c r="H39" s="10"/>
    </x:row>
    <x:row r="40" ht="33.29999923706055" customHeight="1">
      <x:c r="A40" s="6" t="s">
        <x:v>13</x:v>
      </x:c>
      <x:c r="B40" s="7" t="s">
        <x:v>954</x:v>
      </x:c>
      <x:c r="C40" s="15" t="s">
        <x:v>135</x:v>
      </x:c>
      <x:c r="D40" s="7" t="s">
        <x:v>2206</x:v>
      </x:c>
      <x:c r="E40" s="15" t="s">
        <x:v>2207</x:v>
      </x:c>
      <x:c r="F40" s="7" t="s">
        <x:v>2208</x:v>
      </x:c>
      <x:c r="G40" s="7" t="s">
        <x:v>2200</x:v>
      </x:c>
      <x:c r="H40" s="7"/>
    </x:row>
    <x:row r="41" ht="33.29999923706055" customHeight="1">
      <x:c r="A41" s="9" t="s">
        <x:v>13</x:v>
      </x:c>
      <x:c r="B41" s="10" t="s">
        <x:v>954</x:v>
      </x:c>
      <x:c r="C41" s="16" t="s">
        <x:v>135</x:v>
      </x:c>
      <x:c r="D41" s="10" t="s">
        <x:v>2247</x:v>
      </x:c>
      <x:c r="E41" s="16" t="s">
        <x:v>2213</x:v>
      </x:c>
      <x:c r="F41" s="10" t="s">
        <x:v>2214</x:v>
      </x:c>
      <x:c r="G41" s="10" t="s">
        <x:v>2200</x:v>
      </x:c>
      <x:c r="H41" s="10"/>
    </x:row>
    <x:row r="42" ht="33.29999923706055" customHeight="1">
      <x:c r="A42" s="6" t="s">
        <x:v>13</x:v>
      </x:c>
      <x:c r="B42" s="7" t="s">
        <x:v>963</x:v>
      </x:c>
      <x:c r="C42" s="15" t="s">
        <x:v>135</x:v>
      </x:c>
      <x:c r="D42" s="7" t="s">
        <x:v>1277</x:v>
      </x:c>
      <x:c r="E42" s="15" t="s">
        <x:v>970</x:v>
      </x:c>
      <x:c r="F42" s="7" t="s">
        <x:v>1828</x:v>
      </x:c>
      <x:c r="G42" s="7" t="s">
        <x:v>2200</x:v>
      </x:c>
      <x:c r="H42" s="7"/>
    </x:row>
    <x:row r="43" ht="33.29999923706055" customHeight="1">
      <x:c r="A43" s="9" t="s">
        <x:v>13</x:v>
      </x:c>
      <x:c r="B43" s="10" t="s">
        <x:v>971</x:v>
      </x:c>
      <x:c r="C43" s="16" t="s">
        <x:v>135</x:v>
      </x:c>
      <x:c r="D43" s="10" t="s">
        <x:v>975</x:v>
      </x:c>
      <x:c r="E43" s="16" t="s">
        <x:v>977</x:v>
      </x:c>
      <x:c r="F43" s="10" t="s">
        <x:v>1832</x:v>
      </x:c>
      <x:c r="G43" s="10" t="s">
        <x:v>2200</x:v>
      </x:c>
      <x:c r="H43" s="10"/>
    </x:row>
    <x:row r="44" ht="33.29999923706055" customHeight="1">
      <x:c r="A44" s="6" t="s">
        <x:v>13</x:v>
      </x:c>
      <x:c r="B44" s="7" t="s">
        <x:v>978</x:v>
      </x:c>
      <x:c r="C44" s="15" t="s">
        <x:v>135</x:v>
      </x:c>
      <x:c r="D44" s="7" t="s">
        <x:v>975</x:v>
      </x:c>
      <x:c r="E44" s="15" t="s">
        <x:v>977</x:v>
      </x:c>
      <x:c r="F44" s="7" t="s">
        <x:v>1832</x:v>
      </x:c>
      <x:c r="G44" s="7" t="s">
        <x:v>2200</x:v>
      </x:c>
      <x:c r="H44" s="7"/>
    </x:row>
    <x:row r="45" ht="33.29999923706055" customHeight="1">
      <x:c r="A45" s="9" t="s">
        <x:v>13</x:v>
      </x:c>
      <x:c r="B45" s="10" t="s">
        <x:v>982</x:v>
      </x:c>
      <x:c r="C45" s="16" t="s">
        <x:v>135</x:v>
      </x:c>
      <x:c r="D45" s="10" t="s">
        <x:v>975</x:v>
      </x:c>
      <x:c r="E45" s="16" t="s">
        <x:v>977</x:v>
      </x:c>
      <x:c r="F45" s="10" t="s">
        <x:v>1832</x:v>
      </x:c>
      <x:c r="G45" s="10" t="s">
        <x:v>2200</x:v>
      </x:c>
      <x:c r="H45" s="10"/>
    </x:row>
    <x:row r="46" ht="33.29999923706055" customHeight="1">
      <x:c r="A46" s="6" t="s">
        <x:v>13</x:v>
      </x:c>
      <x:c r="B46" s="7" t="s">
        <x:v>986</x:v>
      </x:c>
      <x:c r="C46" s="15" t="s">
        <x:v>135</x:v>
      </x:c>
      <x:c r="D46" s="7" t="s">
        <x:v>975</x:v>
      </x:c>
      <x:c r="E46" s="15" t="s">
        <x:v>977</x:v>
      </x:c>
      <x:c r="F46" s="7" t="s">
        <x:v>1832</x:v>
      </x:c>
      <x:c r="G46" s="7" t="s">
        <x:v>2200</x:v>
      </x:c>
      <x:c r="H46" s="7"/>
    </x:row>
    <x:row r="47" ht="33.29999923706055" customHeight="1">
      <x:c r="A47" s="9" t="s">
        <x:v>13</x:v>
      </x:c>
      <x:c r="B47" s="10" t="s">
        <x:v>990</x:v>
      </x:c>
      <x:c r="C47" s="16" t="s">
        <x:v>135</x:v>
      </x:c>
      <x:c r="D47" s="10" t="s">
        <x:v>975</x:v>
      </x:c>
      <x:c r="E47" s="16" t="s">
        <x:v>977</x:v>
      </x:c>
      <x:c r="F47" s="10" t="s">
        <x:v>1832</x:v>
      </x:c>
      <x:c r="G47" s="10" t="s">
        <x:v>2200</x:v>
      </x:c>
      <x:c r="H47" s="10"/>
    </x:row>
    <x:row r="48" ht="33.29999923706055" customHeight="1">
      <x:c r="A48" s="6" t="s">
        <x:v>13</x:v>
      </x:c>
      <x:c r="B48" s="7" t="s">
        <x:v>994</x:v>
      </x:c>
      <x:c r="C48" s="15" t="s">
        <x:v>135</x:v>
      </x:c>
      <x:c r="D48" s="7" t="s">
        <x:v>975</x:v>
      </x:c>
      <x:c r="E48" s="15" t="s">
        <x:v>977</x:v>
      </x:c>
      <x:c r="F48" s="7" t="s">
        <x:v>1832</x:v>
      </x:c>
      <x:c r="G48" s="7" t="s">
        <x:v>2200</x:v>
      </x:c>
      <x:c r="H48" s="7"/>
    </x:row>
    <x:row r="49" ht="33.29999923706055" customHeight="1">
      <x:c r="A49" s="9" t="s">
        <x:v>13</x:v>
      </x:c>
      <x:c r="B49" s="10" t="s">
        <x:v>998</x:v>
      </x:c>
      <x:c r="C49" s="16" t="s">
        <x:v>135</x:v>
      </x:c>
      <x:c r="D49" s="10" t="s">
        <x:v>2248</x:v>
      </x:c>
      <x:c r="E49" s="16" t="s">
        <x:v>2249</x:v>
      </x:c>
      <x:c r="F49" s="10" t="s">
        <x:v>2250</x:v>
      </x:c>
      <x:c r="G49" s="10" t="s">
        <x:v>2200</x:v>
      </x:c>
      <x:c r="H49" s="10"/>
    </x:row>
    <x:row r="50" ht="33.29999923706055" customHeight="1">
      <x:c r="A50" s="6" t="s">
        <x:v>13</x:v>
      </x:c>
      <x:c r="B50" s="7" t="s">
        <x:v>998</x:v>
      </x:c>
      <x:c r="C50" s="15" t="s">
        <x:v>135</x:v>
      </x:c>
      <x:c r="D50" s="7" t="s">
        <x:v>975</x:v>
      </x:c>
      <x:c r="E50" s="15" t="s">
        <x:v>977</x:v>
      </x:c>
      <x:c r="F50" s="7" t="s">
        <x:v>1832</x:v>
      </x:c>
      <x:c r="G50" s="7" t="s">
        <x:v>2200</x:v>
      </x:c>
      <x:c r="H50" s="7"/>
    </x:row>
    <x:row r="51" ht="33.29999923706055" customHeight="1">
      <x:c r="A51" s="9" t="s">
        <x:v>13</x:v>
      </x:c>
      <x:c r="B51" s="10" t="s">
        <x:v>156</x:v>
      </x:c>
      <x:c r="C51" s="16" t="s">
        <x:v>150</x:v>
      </x:c>
      <x:c r="D51" s="10" t="s">
        <x:v>1028</x:v>
      </x:c>
      <x:c r="E51" s="16" t="s">
        <x:v>1008</x:v>
      </x:c>
      <x:c r="F51" s="10" t="s">
        <x:v>1854</x:v>
      </x:c>
      <x:c r="G51" s="10" t="s">
        <x:v>2200</x:v>
      </x:c>
      <x:c r="H51" s="10"/>
    </x:row>
    <x:row r="52" ht="33.29999923706055" customHeight="1">
      <x:c r="A52" s="6" t="s">
        <x:v>13</x:v>
      </x:c>
      <x:c r="B52" s="7" t="s">
        <x:v>1009</x:v>
      </x:c>
      <x:c r="C52" s="15" t="s">
        <x:v>150</x:v>
      </x:c>
      <x:c r="D52" s="7" t="s">
        <x:v>1014</x:v>
      </x:c>
      <x:c r="E52" s="15" t="s">
        <x:v>1016</x:v>
      </x:c>
      <x:c r="F52" s="7" t="s">
        <x:v>1858</x:v>
      </x:c>
      <x:c r="G52" s="7" t="s">
        <x:v>2200</x:v>
      </x:c>
      <x:c r="H52" s="7"/>
    </x:row>
    <x:row r="53" ht="33.29999923706055" customHeight="1">
      <x:c r="A53" s="9" t="s">
        <x:v>13</x:v>
      </x:c>
      <x:c r="B53" s="10" t="s">
        <x:v>1017</x:v>
      </x:c>
      <x:c r="C53" s="16" t="s">
        <x:v>150</x:v>
      </x:c>
      <x:c r="D53" s="10" t="s">
        <x:v>2251</x:v>
      </x:c>
      <x:c r="E53" s="16" t="s">
        <x:v>2216</x:v>
      </x:c>
      <x:c r="F53" s="10" t="s">
        <x:v>2217</x:v>
      </x:c>
      <x:c r="G53" s="10" t="s">
        <x:v>2200</x:v>
      </x:c>
      <x:c r="H53" s="10"/>
    </x:row>
    <x:row r="54" ht="33.29999923706055" customHeight="1">
      <x:c r="A54" s="6" t="s">
        <x:v>13</x:v>
      </x:c>
      <x:c r="B54" s="7" t="s">
        <x:v>1017</x:v>
      </x:c>
      <x:c r="C54" s="15" t="s">
        <x:v>150</x:v>
      </x:c>
      <x:c r="D54" s="7" t="s">
        <x:v>1302</x:v>
      </x:c>
      <x:c r="E54" s="15" t="s">
        <x:v>1303</x:v>
      </x:c>
      <x:c r="F54" s="7" t="s">
        <x:v>2054</x:v>
      </x:c>
      <x:c r="G54" s="7" t="s">
        <x:v>2200</x:v>
      </x:c>
      <x:c r="H54" s="7"/>
    </x:row>
    <x:row r="55" ht="33.29999923706055" customHeight="1">
      <x:c r="A55" s="9" t="s">
        <x:v>13</x:v>
      </x:c>
      <x:c r="B55" s="10" t="s">
        <x:v>1024</x:v>
      </x:c>
      <x:c r="C55" s="16" t="s">
        <x:v>150</x:v>
      </x:c>
      <x:c r="D55" s="10" t="s">
        <x:v>1028</x:v>
      </x:c>
      <x:c r="E55" s="16" t="s">
        <x:v>1008</x:v>
      </x:c>
      <x:c r="F55" s="10" t="s">
        <x:v>1854</x:v>
      </x:c>
      <x:c r="G55" s="10" t="s">
        <x:v>2200</x:v>
      </x:c>
      <x:c r="H55" s="10"/>
    </x:row>
    <x:row r="56" ht="33.29999923706055" customHeight="1">
      <x:c r="A56" s="6" t="s">
        <x:v>13</x:v>
      </x:c>
      <x:c r="B56" s="7" t="s">
        <x:v>1030</x:v>
      </x:c>
      <x:c r="C56" s="15" t="s">
        <x:v>150</x:v>
      </x:c>
      <x:c r="D56" s="7" t="s">
        <x:v>1028</x:v>
      </x:c>
      <x:c r="E56" s="15" t="s">
        <x:v>1008</x:v>
      </x:c>
      <x:c r="F56" s="7" t="s">
        <x:v>1854</x:v>
      </x:c>
      <x:c r="G56" s="7" t="s">
        <x:v>2200</x:v>
      </x:c>
      <x:c r="H56" s="7"/>
    </x:row>
    <x:row r="57" ht="33.29999923706055" customHeight="1">
      <x:c r="A57" s="9" t="s">
        <x:v>13</x:v>
      </x:c>
      <x:c r="B57" s="10" t="s">
        <x:v>1033</x:v>
      </x:c>
      <x:c r="C57" s="16" t="s">
        <x:v>150</x:v>
      </x:c>
      <x:c r="D57" s="10" t="s">
        <x:v>1028</x:v>
      </x:c>
      <x:c r="E57" s="16" t="s">
        <x:v>1008</x:v>
      </x:c>
      <x:c r="F57" s="10" t="s">
        <x:v>1854</x:v>
      </x:c>
      <x:c r="G57" s="10" t="s">
        <x:v>2200</x:v>
      </x:c>
      <x:c r="H57" s="10"/>
    </x:row>
    <x:row r="58" ht="33.29999923706055" customHeight="1">
      <x:c r="A58" s="6" t="s">
        <x:v>13</x:v>
      </x:c>
      <x:c r="B58" s="7" t="s">
        <x:v>1036</x:v>
      </x:c>
      <x:c r="C58" s="15" t="s">
        <x:v>164</x:v>
      </x:c>
      <x:c r="D58" s="7" t="s">
        <x:v>1041</x:v>
      </x:c>
      <x:c r="E58" s="15" t="s">
        <x:v>177</x:v>
      </x:c>
      <x:c r="F58" s="7" t="s">
        <x:v>1874</x:v>
      </x:c>
      <x:c r="G58" s="7" t="s">
        <x:v>2200</x:v>
      </x:c>
      <x:c r="H58" s="7"/>
    </x:row>
    <x:row r="59" ht="33.29999923706055" customHeight="1">
      <x:c r="A59" s="9" t="s">
        <x:v>13</x:v>
      </x:c>
      <x:c r="B59" s="10" t="s">
        <x:v>1043</x:v>
      </x:c>
      <x:c r="C59" s="16" t="s">
        <x:v>164</x:v>
      </x:c>
      <x:c r="D59" s="10" t="s">
        <x:v>2252</x:v>
      </x:c>
      <x:c r="E59" s="16" t="s">
        <x:v>2253</x:v>
      </x:c>
      <x:c r="F59" s="10" t="s">
        <x:v>2254</x:v>
      </x:c>
      <x:c r="G59" s="10" t="s">
        <x:v>2200</x:v>
      </x:c>
      <x:c r="H59" s="10"/>
    </x:row>
    <x:row r="60" ht="33.29999923706055" customHeight="1">
      <x:c r="A60" s="6" t="s">
        <x:v>13</x:v>
      </x:c>
      <x:c r="B60" s="7" t="s">
        <x:v>1043</x:v>
      </x:c>
      <x:c r="C60" s="15" t="s">
        <x:v>164</x:v>
      </x:c>
      <x:c r="D60" s="7" t="s">
        <x:v>1041</x:v>
      </x:c>
      <x:c r="E60" s="15" t="s">
        <x:v>177</x:v>
      </x:c>
      <x:c r="F60" s="7" t="s">
        <x:v>1874</x:v>
      </x:c>
      <x:c r="G60" s="7" t="s">
        <x:v>2200</x:v>
      </x:c>
      <x:c r="H60" s="7"/>
    </x:row>
    <x:row r="61" ht="33.29999923706055" customHeight="1">
      <x:c r="A61" s="9" t="s">
        <x:v>13</x:v>
      </x:c>
      <x:c r="B61" s="10" t="s">
        <x:v>1049</x:v>
      </x:c>
      <x:c r="C61" s="16" t="s">
        <x:v>164</x:v>
      </x:c>
      <x:c r="D61" s="10" t="s">
        <x:v>1052</x:v>
      </x:c>
      <x:c r="E61" s="16" t="s">
        <x:v>1054</x:v>
      </x:c>
      <x:c r="F61" s="10" t="s">
        <x:v>1881</x:v>
      </x:c>
      <x:c r="G61" s="10" t="s">
        <x:v>2200</x:v>
      </x:c>
      <x:c r="H61" s="10"/>
    </x:row>
    <x:row r="62" ht="33.29999923706055" customHeight="1">
      <x:c r="A62" s="6" t="s">
        <x:v>13</x:v>
      </x:c>
      <x:c r="B62" s="7" t="s">
        <x:v>1055</x:v>
      </x:c>
      <x:c r="C62" s="15" t="s">
        <x:v>164</x:v>
      </x:c>
      <x:c r="D62" s="7" t="s">
        <x:v>1060</x:v>
      </x:c>
      <x:c r="E62" s="15" t="s">
        <x:v>1062</x:v>
      </x:c>
      <x:c r="F62" s="7" t="s">
        <x:v>1885</x:v>
      </x:c>
      <x:c r="G62" s="7" t="s">
        <x:v>2200</x:v>
      </x:c>
      <x:c r="H62" s="7"/>
    </x:row>
    <x:row r="63" ht="33.29999923706055" customHeight="1">
      <x:c r="A63" s="9" t="s">
        <x:v>13</x:v>
      </x:c>
      <x:c r="B63" s="10" t="s">
        <x:v>1063</x:v>
      </x:c>
      <x:c r="C63" s="16" t="s">
        <x:v>164</x:v>
      </x:c>
      <x:c r="D63" s="10" t="s">
        <x:v>2255</x:v>
      </x:c>
      <x:c r="E63" s="16" t="s">
        <x:v>1070</x:v>
      </x:c>
      <x:c r="F63" s="10" t="s">
        <x:v>1889</x:v>
      </x:c>
      <x:c r="G63" s="10" t="s">
        <x:v>2200</x:v>
      </x:c>
      <x:c r="H63" s="10"/>
    </x:row>
    <x:row r="64" ht="33.29999923706055" customHeight="1">
      <x:c r="A64" s="6" t="s">
        <x:v>13</x:v>
      </x:c>
      <x:c r="B64" s="7" t="s">
        <x:v>1071</x:v>
      </x:c>
      <x:c r="C64" s="15" t="s">
        <x:v>164</x:v>
      </x:c>
      <x:c r="D64" s="7" t="s">
        <x:v>2255</x:v>
      </x:c>
      <x:c r="E64" s="15" t="s">
        <x:v>1070</x:v>
      </x:c>
      <x:c r="F64" s="7" t="s">
        <x:v>1889</x:v>
      </x:c>
      <x:c r="G64" s="7" t="s">
        <x:v>2200</x:v>
      </x:c>
      <x:c r="H64" s="7"/>
    </x:row>
    <x:row r="65" ht="33.29999923706055" customHeight="1">
      <x:c r="A65" s="9" t="s">
        <x:v>13</x:v>
      </x:c>
      <x:c r="B65" s="10" t="s">
        <x:v>1076</x:v>
      </x:c>
      <x:c r="C65" s="16" t="s">
        <x:v>164</x:v>
      </x:c>
      <x:c r="D65" s="10" t="s">
        <x:v>2255</x:v>
      </x:c>
      <x:c r="E65" s="16" t="s">
        <x:v>1070</x:v>
      </x:c>
      <x:c r="F65" s="10" t="s">
        <x:v>1889</x:v>
      </x:c>
      <x:c r="G65" s="10" t="s">
        <x:v>2200</x:v>
      </x:c>
      <x:c r="H65" s="10"/>
    </x:row>
    <x:row r="66" ht="33.29999923706055" customHeight="1">
      <x:c r="A66" s="6" t="s">
        <x:v>13</x:v>
      </x:c>
      <x:c r="B66" s="7" t="s">
        <x:v>1080</x:v>
      </x:c>
      <x:c r="C66" s="15" t="s">
        <x:v>178</x:v>
      </x:c>
      <x:c r="D66" s="7" t="s">
        <x:v>1084</x:v>
      </x:c>
      <x:c r="E66" s="15" t="s">
        <x:v>191</x:v>
      </x:c>
      <x:c r="F66" s="7" t="s">
        <x:v>1899</x:v>
      </x:c>
      <x:c r="G66" s="7" t="s">
        <x:v>2200</x:v>
      </x:c>
      <x:c r="H66" s="7"/>
    </x:row>
    <x:row r="67" ht="33.29999923706055" customHeight="1">
      <x:c r="A67" s="9" t="s">
        <x:v>13</x:v>
      </x:c>
      <x:c r="B67" s="10" t="s">
        <x:v>1086</x:v>
      </x:c>
      <x:c r="C67" s="16" t="s">
        <x:v>178</x:v>
      </x:c>
      <x:c r="D67" s="10" t="s">
        <x:v>1084</x:v>
      </x:c>
      <x:c r="E67" s="16" t="s">
        <x:v>191</x:v>
      </x:c>
      <x:c r="F67" s="10" t="s">
        <x:v>1899</x:v>
      </x:c>
      <x:c r="G67" s="10" t="s">
        <x:v>2200</x:v>
      </x:c>
      <x:c r="H67" s="10"/>
    </x:row>
    <x:row r="68" ht="46.599998474121094" customHeight="1">
      <x:c r="A68" s="6" t="s">
        <x:v>13</x:v>
      </x:c>
      <x:c r="B68" s="7" t="s">
        <x:v>1090</x:v>
      </x:c>
      <x:c r="C68" s="15" t="s">
        <x:v>192</x:v>
      </x:c>
      <x:c r="D68" s="7" t="s">
        <x:v>1094</x:v>
      </x:c>
      <x:c r="E68" s="15" t="s">
        <x:v>207</x:v>
      </x:c>
      <x:c r="F68" s="7" t="s">
        <x:v>1906</x:v>
      </x:c>
      <x:c r="G68" s="7" t="s">
        <x:v>2200</x:v>
      </x:c>
      <x:c r="H68" s="7"/>
    </x:row>
    <x:row r="69" ht="46.599998474121094" customHeight="1">
      <x:c r="A69" s="9" t="s">
        <x:v>13</x:v>
      </x:c>
      <x:c r="B69" s="10" t="s">
        <x:v>1096</x:v>
      </x:c>
      <x:c r="C69" s="16" t="s">
        <x:v>192</x:v>
      </x:c>
      <x:c r="D69" s="10" t="s">
        <x:v>1094</x:v>
      </x:c>
      <x:c r="E69" s="16" t="s">
        <x:v>207</x:v>
      </x:c>
      <x:c r="F69" s="10" t="s">
        <x:v>1906</x:v>
      </x:c>
      <x:c r="G69" s="10" t="s">
        <x:v>2200</x:v>
      </x:c>
      <x:c r="H69" s="10"/>
    </x:row>
    <x:row r="70" ht="33.29999923706055" customHeight="1">
      <x:c r="A70" s="6" t="s">
        <x:v>13</x:v>
      </x:c>
      <x:c r="B70" s="7" t="s">
        <x:v>216</x:v>
      </x:c>
      <x:c r="C70" s="15" t="s">
        <x:v>208</x:v>
      </x:c>
      <x:c r="D70" s="7" t="s">
        <x:v>2256</x:v>
      </x:c>
      <x:c r="E70" s="15" t="s">
        <x:v>2257</x:v>
      </x:c>
      <x:c r="F70" s="7" t="s">
        <x:v>2258</x:v>
      </x:c>
      <x:c r="G70" s="7" t="s">
        <x:v>2200</x:v>
      </x:c>
      <x:c r="H70" s="7"/>
    </x:row>
    <x:row r="71" ht="33.29999923706055" customHeight="1">
      <x:c r="A71" s="9" t="s">
        <x:v>13</x:v>
      </x:c>
      <x:c r="B71" s="10" t="s">
        <x:v>216</x:v>
      </x:c>
      <x:c r="C71" s="16" t="s">
        <x:v>208</x:v>
      </x:c>
      <x:c r="D71" s="10" t="s">
        <x:v>2218</x:v>
      </x:c>
      <x:c r="E71" s="16" t="s">
        <x:v>222</x:v>
      </x:c>
      <x:c r="F71" s="10" t="s">
        <x:v>2219</x:v>
      </x:c>
      <x:c r="G71" s="10" t="s">
        <x:v>2200</x:v>
      </x:c>
      <x:c r="H71" s="10"/>
    </x:row>
    <x:row r="72" ht="33.29999923706055" customHeight="1">
      <x:c r="A72" s="6" t="s">
        <x:v>13</x:v>
      </x:c>
      <x:c r="B72" s="7" t="s">
        <x:v>216</x:v>
      </x:c>
      <x:c r="C72" s="15" t="s">
        <x:v>208</x:v>
      </x:c>
      <x:c r="D72" s="7" t="s">
        <x:v>2259</x:v>
      </x:c>
      <x:c r="E72" s="15" t="s">
        <x:v>2260</x:v>
      </x:c>
      <x:c r="F72" s="7" t="s">
        <x:v>2261</x:v>
      </x:c>
      <x:c r="G72" s="7" t="s">
        <x:v>2200</x:v>
      </x:c>
      <x:c r="H72" s="7"/>
    </x:row>
    <x:row r="73" ht="33.29999923706055" customHeight="1">
      <x:c r="A73" s="9" t="s">
        <x:v>13</x:v>
      </x:c>
      <x:c r="B73" s="10" t="s">
        <x:v>229</x:v>
      </x:c>
      <x:c r="C73" s="16" t="s">
        <x:v>223</x:v>
      </x:c>
      <x:c r="D73" s="10" t="s">
        <x:v>2262</x:v>
      </x:c>
      <x:c r="E73" s="16" t="s">
        <x:v>2263</x:v>
      </x:c>
      <x:c r="F73" s="10" t="s">
        <x:v>2264</x:v>
      </x:c>
      <x:c r="G73" s="10" t="s">
        <x:v>2200</x:v>
      </x:c>
      <x:c r="H73" s="10"/>
    </x:row>
    <x:row r="74" ht="33.29999923706055" customHeight="1">
      <x:c r="A74" s="6" t="s">
        <x:v>13</x:v>
      </x:c>
      <x:c r="B74" s="7" t="s">
        <x:v>229</x:v>
      </x:c>
      <x:c r="C74" s="15" t="s">
        <x:v>223</x:v>
      </x:c>
      <x:c r="D74" s="7" t="s">
        <x:v>1347</x:v>
      </x:c>
      <x:c r="E74" s="15" t="s">
        <x:v>1348</x:v>
      </x:c>
      <x:c r="F74" s="7" t="s">
        <x:v>2088</x:v>
      </x:c>
      <x:c r="G74" s="7" t="s">
        <x:v>2200</x:v>
      </x:c>
      <x:c r="H74" s="7"/>
    </x:row>
    <x:row r="75" ht="33.29999923706055" customHeight="1">
      <x:c r="A75" s="9" t="s">
        <x:v>13</x:v>
      </x:c>
      <x:c r="B75" s="10" t="s">
        <x:v>1116</x:v>
      </x:c>
      <x:c r="C75" s="16" t="s">
        <x:v>223</x:v>
      </x:c>
      <x:c r="D75" s="10" t="s">
        <x:v>2262</x:v>
      </x:c>
      <x:c r="E75" s="16" t="s">
        <x:v>2263</x:v>
      </x:c>
      <x:c r="F75" s="10" t="s">
        <x:v>2264</x:v>
      </x:c>
      <x:c r="G75" s="10" t="s">
        <x:v>2200</x:v>
      </x:c>
      <x:c r="H75" s="10"/>
    </x:row>
    <x:row r="76" ht="33.29999923706055" customHeight="1">
      <x:c r="A76" s="6" t="s">
        <x:v>13</x:v>
      </x:c>
      <x:c r="B76" s="7" t="s">
        <x:v>1116</x:v>
      </x:c>
      <x:c r="C76" s="15" t="s">
        <x:v>223</x:v>
      </x:c>
      <x:c r="D76" s="7" t="s">
        <x:v>1347</x:v>
      </x:c>
      <x:c r="E76" s="15" t="s">
        <x:v>1348</x:v>
      </x:c>
      <x:c r="F76" s="7" t="s">
        <x:v>2088</x:v>
      </x:c>
      <x:c r="G76" s="7" t="s">
        <x:v>2200</x:v>
      </x:c>
      <x:c r="H76" s="7"/>
    </x:row>
    <x:row r="77" ht="33.29999923706055" customHeight="1">
      <x:c r="A77" s="9" t="s">
        <x:v>13</x:v>
      </x:c>
      <x:c r="B77" s="10" t="s">
        <x:v>244</x:v>
      </x:c>
      <x:c r="C77" s="16" t="s">
        <x:v>237</x:v>
      </x:c>
      <x:c r="D77" s="10" t="s">
        <x:v>1124</x:v>
      </x:c>
      <x:c r="E77" s="16" t="s">
        <x:v>1126</x:v>
      </x:c>
      <x:c r="F77" s="10" t="s">
        <x:v>1922</x:v>
      </x:c>
      <x:c r="G77" s="10" t="s">
        <x:v>2200</x:v>
      </x:c>
      <x:c r="H77" s="10"/>
    </x:row>
    <x:row r="78" ht="33.29999923706055" customHeight="1">
      <x:c r="A78" s="6" t="s">
        <x:v>13</x:v>
      </x:c>
      <x:c r="B78" s="7" t="s">
        <x:v>259</x:v>
      </x:c>
      <x:c r="C78" s="15" t="s">
        <x:v>252</x:v>
      </x:c>
      <x:c r="D78" s="7" t="s">
        <x:v>1130</x:v>
      </x:c>
      <x:c r="E78" s="15" t="s">
        <x:v>266</x:v>
      </x:c>
      <x:c r="F78" s="7" t="s">
        <x:v>1926</x:v>
      </x:c>
      <x:c r="G78" s="7" t="s">
        <x:v>2200</x:v>
      </x:c>
      <x:c r="H78" s="7"/>
    </x:row>
    <x:row r="79" ht="33.29999923706055" customHeight="1">
      <x:c r="A79" s="9" t="s">
        <x:v>13</x:v>
      </x:c>
      <x:c r="B79" s="10" t="s">
        <x:v>1132</x:v>
      </x:c>
      <x:c r="C79" s="16" t="s">
        <x:v>252</x:v>
      </x:c>
      <x:c r="D79" s="10" t="s">
        <x:v>1130</x:v>
      </x:c>
      <x:c r="E79" s="16" t="s">
        <x:v>266</x:v>
      </x:c>
      <x:c r="F79" s="10" t="s">
        <x:v>1926</x:v>
      </x:c>
      <x:c r="G79" s="10" t="s">
        <x:v>2200</x:v>
      </x:c>
      <x:c r="H79" s="10"/>
    </x:row>
    <x:row r="80" ht="33.29999923706055" customHeight="1">
      <x:c r="A80" s="6" t="s">
        <x:v>13</x:v>
      </x:c>
      <x:c r="B80" s="7" t="s">
        <x:v>273</x:v>
      </x:c>
      <x:c r="C80" s="15" t="s">
        <x:v>267</x:v>
      </x:c>
      <x:c r="D80" s="7" t="s">
        <x:v>1141</x:v>
      </x:c>
      <x:c r="E80" s="15" t="s">
        <x:v>280</x:v>
      </x:c>
      <x:c r="F80" s="7" t="s">
        <x:v>1933</x:v>
      </x:c>
      <x:c r="G80" s="7" t="s">
        <x:v>2200</x:v>
      </x:c>
      <x:c r="H80" s="7"/>
    </x:row>
    <x:row r="81" ht="33.29999923706055" customHeight="1">
      <x:c r="A81" s="9" t="s">
        <x:v>13</x:v>
      </x:c>
      <x:c r="B81" s="10" t="s">
        <x:v>300</x:v>
      </x:c>
      <x:c r="C81" s="16" t="s">
        <x:v>294</x:v>
      </x:c>
      <x:c r="D81" s="10" t="s">
        <x:v>1150</x:v>
      </x:c>
      <x:c r="E81" s="16" t="s">
        <x:v>306</x:v>
      </x:c>
      <x:c r="F81" s="10" t="s">
        <x:v>1940</x:v>
      </x:c>
      <x:c r="G81" s="10" t="s">
        <x:v>2200</x:v>
      </x:c>
      <x:c r="H81" s="10"/>
    </x:row>
    <x:row r="82" ht="46.599998474121094" customHeight="1">
      <x:c r="A82" s="6" t="s">
        <x:v>13</x:v>
      </x:c>
      <x:c r="B82" s="7" t="s">
        <x:v>313</x:v>
      </x:c>
      <x:c r="C82" s="15" t="s">
        <x:v>307</x:v>
      </x:c>
      <x:c r="D82" s="7" t="s">
        <x:v>1155</x:v>
      </x:c>
      <x:c r="E82" s="15" t="s">
        <x:v>320</x:v>
      </x:c>
      <x:c r="F82" s="7" t="s">
        <x:v>1944</x:v>
      </x:c>
      <x:c r="G82" s="7" t="s">
        <x:v>2200</x:v>
      </x:c>
      <x:c r="H82" s="7"/>
    </x:row>
    <x:row r="83" ht="33.29999923706055" customHeight="1">
      <x:c r="A83" s="9" t="s">
        <x:v>13</x:v>
      </x:c>
      <x:c r="B83" s="10" t="s">
        <x:v>376</x:v>
      </x:c>
      <x:c r="C83" s="16" t="s">
        <x:v>370</x:v>
      </x:c>
      <x:c r="D83" s="10" t="s">
        <x:v>2231</x:v>
      </x:c>
      <x:c r="E83" s="16" t="s">
        <x:v>2232</x:v>
      </x:c>
      <x:c r="F83" s="10" t="s">
        <x:v>2233</x:v>
      </x:c>
      <x:c r="G83" s="10" t="s">
        <x:v>2200</x:v>
      </x:c>
      <x:c r="H83" s="10"/>
    </x:row>
    <x:row r="84" ht="33.29999923706055" customHeight="1">
      <x:c r="A84" s="6" t="s">
        <x:v>13</x:v>
      </x:c>
      <x:c r="B84" s="7" t="s">
        <x:v>376</x:v>
      </x:c>
      <x:c r="C84" s="15" t="s">
        <x:v>370</x:v>
      </x:c>
      <x:c r="D84" s="7" t="s">
        <x:v>1416</x:v>
      </x:c>
      <x:c r="E84" s="15" t="s">
        <x:v>1417</x:v>
      </x:c>
      <x:c r="F84" s="7" t="s">
        <x:v>2141</x:v>
      </x:c>
      <x:c r="G84" s="7" t="s">
        <x:v>2200</x:v>
      </x:c>
      <x:c r="H84" s="7"/>
    </x:row>
    <x:row r="85" ht="33.29999923706055" customHeight="1">
      <x:c r="A85" s="9" t="s">
        <x:v>13</x:v>
      </x:c>
      <x:c r="B85" s="10" t="s">
        <x:v>1163</x:v>
      </x:c>
      <x:c r="C85" s="16" t="s">
        <x:v>370</x:v>
      </x:c>
      <x:c r="D85" s="10" t="s">
        <x:v>2231</x:v>
      </x:c>
      <x:c r="E85" s="16" t="s">
        <x:v>2232</x:v>
      </x:c>
      <x:c r="F85" s="10" t="s">
        <x:v>2233</x:v>
      </x:c>
      <x:c r="G85" s="10" t="s">
        <x:v>2200</x:v>
      </x:c>
      <x:c r="H85" s="10"/>
    </x:row>
    <x:row r="86" ht="33.29999923706055" customHeight="1">
      <x:c r="A86" s="6" t="s">
        <x:v>13</x:v>
      </x:c>
      <x:c r="B86" s="7" t="s">
        <x:v>1163</x:v>
      </x:c>
      <x:c r="C86" s="15" t="s">
        <x:v>370</x:v>
      </x:c>
      <x:c r="D86" s="7" t="s">
        <x:v>1416</x:v>
      </x:c>
      <x:c r="E86" s="15" t="s">
        <x:v>1417</x:v>
      </x:c>
      <x:c r="F86" s="7" t="s">
        <x:v>2141</x:v>
      </x:c>
      <x:c r="G86" s="7" t="s">
        <x:v>2200</x:v>
      </x:c>
      <x:c r="H86" s="7"/>
    </x:row>
    <x:row r="87" ht="33.29999923706055" customHeight="1">
      <x:c r="A87" s="9" t="s">
        <x:v>13</x:v>
      </x:c>
      <x:c r="B87" s="10" t="s">
        <x:v>840</x:v>
      </x:c>
      <x:c r="C87" s="16" t="s">
        <x:v>835</x:v>
      </x:c>
      <x:c r="D87" s="10" t="s">
        <x:v>2240</x:v>
      </x:c>
      <x:c r="E87" s="16" t="s">
        <x:v>733</x:v>
      </x:c>
      <x:c r="F87" s="10" t="s">
        <x:v>2241</x:v>
      </x:c>
      <x:c r="G87" s="10" t="s">
        <x:v>2200</x:v>
      </x:c>
      <x:c r="H87" s="10"/>
    </x:row>
    <x:row r="88" ht="33.29999923706055" customHeight="1">
      <x:c r="A88" s="6" t="s">
        <x:v>13</x:v>
      </x:c>
      <x:c r="B88" s="7" t="s">
        <x:v>840</x:v>
      </x:c>
      <x:c r="C88" s="15" t="s">
        <x:v>835</x:v>
      </x:c>
      <x:c r="D88" s="7" t="s">
        <x:v>2265</x:v>
      </x:c>
      <x:c r="E88" s="15" t="s">
        <x:v>2266</x:v>
      </x:c>
      <x:c r="F88" s="7" t="s">
        <x:v>2267</x:v>
      </x:c>
      <x:c r="G88" s="7" t="s">
        <x:v>2226</x:v>
      </x:c>
      <x:c r="H88" s="7"/>
    </x:row>
    <x:row r="89" ht="33.29999923706055" customHeight="1">
      <x:c r="A89" s="9" t="s">
        <x:v>13</x:v>
      </x:c>
      <x:c r="B89" s="10" t="s">
        <x:v>1173</x:v>
      </x:c>
      <x:c r="C89" s="16" t="s">
        <x:v>835</x:v>
      </x:c>
      <x:c r="D89" s="10" t="s">
        <x:v>2240</x:v>
      </x:c>
      <x:c r="E89" s="16" t="s">
        <x:v>733</x:v>
      </x:c>
      <x:c r="F89" s="10" t="s">
        <x:v>2241</x:v>
      </x:c>
      <x:c r="G89" s="10" t="s">
        <x:v>2200</x:v>
      </x:c>
      <x:c r="H89" s="10"/>
    </x:row>
    <x:row r="90" ht="33.29999923706055" customHeight="1">
      <x:c r="A90" s="6" t="s">
        <x:v>13</x:v>
      </x:c>
      <x:c r="B90" s="7" t="s">
        <x:v>1173</x:v>
      </x:c>
      <x:c r="C90" s="15" t="s">
        <x:v>835</x:v>
      </x:c>
      <x:c r="D90" s="7" t="s">
        <x:v>2265</x:v>
      </x:c>
      <x:c r="E90" s="15" t="s">
        <x:v>2266</x:v>
      </x:c>
      <x:c r="F90" s="7" t="s">
        <x:v>2267</x:v>
      </x:c>
      <x:c r="G90" s="7" t="s">
        <x:v>2226</x:v>
      </x:c>
      <x:c r="H90" s="7"/>
    </x:row>
    <x:row r="91" ht="33.29999923706055" customHeight="1">
      <x:c r="A91" s="9" t="s">
        <x:v>13</x:v>
      </x:c>
      <x:c r="B91" s="10" t="s">
        <x:v>854</x:v>
      </x:c>
      <x:c r="C91" s="16" t="s">
        <x:v>846</x:v>
      </x:c>
      <x:c r="D91" s="10" t="s">
        <x:v>1180</x:v>
      </x:c>
      <x:c r="E91" s="16" t="s">
        <x:v>860</x:v>
      </x:c>
      <x:c r="F91" s="10" t="s">
        <x:v>1960</x:v>
      </x:c>
      <x:c r="G91" s="10" t="s">
        <x:v>2200</x:v>
      </x:c>
      <x:c r="H91" s="10"/>
    </x:row>
    <x:row r="92" ht="33.29999923706055" customHeight="1">
      <x:c r="A92" s="6" t="s">
        <x:v>13</x:v>
      </x:c>
      <x:c r="B92" s="7" t="s">
        <x:v>1182</x:v>
      </x:c>
      <x:c r="C92" s="15" t="s">
        <x:v>846</x:v>
      </x:c>
      <x:c r="D92" s="7" t="s">
        <x:v>1180</x:v>
      </x:c>
      <x:c r="E92" s="15" t="s">
        <x:v>860</x:v>
      </x:c>
      <x:c r="F92" s="7" t="s">
        <x:v>1960</x:v>
      </x:c>
      <x:c r="G92" s="7" t="s">
        <x:v>2200</x:v>
      </x:c>
      <x:c r="H92" s="7"/>
    </x:row>
    <x:row r="93" ht="33.29999923706055" customHeight="1">
      <x:c r="A93" s="9" t="s">
        <x:v>13</x:v>
      </x:c>
      <x:c r="B93" s="10" t="s">
        <x:v>720</x:v>
      </x:c>
      <x:c r="C93" s="16" t="s">
        <x:v>713</x:v>
      </x:c>
      <x:c r="D93" s="10" t="s">
        <x:v>2268</x:v>
      </x:c>
      <x:c r="E93" s="16" t="s">
        <x:v>2269</x:v>
      </x:c>
      <x:c r="F93" s="10" t="s">
        <x:v>2270</x:v>
      </x:c>
      <x:c r="G93" s="10" t="s">
        <x:v>2200</x:v>
      </x:c>
      <x:c r="H93" s="10"/>
    </x:row>
    <x:row r="94" ht="33.29999923706055" customHeight="1">
      <x:c r="A94" s="6" t="s">
        <x:v>13</x:v>
      </x:c>
      <x:c r="B94" s="7" t="s">
        <x:v>720</x:v>
      </x:c>
      <x:c r="C94" s="15" t="s">
        <x:v>713</x:v>
      </x:c>
      <x:c r="D94" s="7" t="s">
        <x:v>2238</x:v>
      </x:c>
      <x:c r="E94" s="15" t="s">
        <x:v>724</x:v>
      </x:c>
      <x:c r="F94" s="7" t="s">
        <x:v>2239</x:v>
      </x:c>
      <x:c r="G94" s="7" t="s">
        <x:v>2200</x:v>
      </x:c>
      <x:c r="H94" s="7"/>
    </x:row>
    <x:row r="95" ht="33.29999923706055" customHeight="1">
      <x:c r="A95" s="9" t="s">
        <x:v>15</x:v>
      </x:c>
      <x:c r="B95" s="10" t="s">
        <x:v>1202</x:v>
      </x:c>
      <x:c r="C95" s="16" t="s">
        <x:v>114</x:v>
      </x:c>
      <x:c r="D95" s="10" t="s">
        <x:v>1209</x:v>
      </x:c>
      <x:c r="E95" s="16" t="s">
        <x:v>1210</x:v>
      </x:c>
      <x:c r="F95" s="10" t="s">
        <x:v>1971</x:v>
      </x:c>
      <x:c r="G95" s="10" t="s">
        <x:v>2200</x:v>
      </x:c>
      <x:c r="H95" s="10"/>
    </x:row>
    <x:row r="96" ht="33.29999923706055" customHeight="1">
      <x:c r="A96" s="6" t="s">
        <x:v>15</x:v>
      </x:c>
      <x:c r="B96" s="7" t="s">
        <x:v>1211</x:v>
      </x:c>
      <x:c r="C96" s="15" t="s">
        <x:v>114</x:v>
      </x:c>
      <x:c r="D96" s="7" t="s">
        <x:v>1209</x:v>
      </x:c>
      <x:c r="E96" s="15" t="s">
        <x:v>1210</x:v>
      </x:c>
      <x:c r="F96" s="7" t="s">
        <x:v>1971</x:v>
      </x:c>
      <x:c r="G96" s="7" t="s">
        <x:v>2200</x:v>
      </x:c>
      <x:c r="H96" s="7"/>
    </x:row>
    <x:row r="97" ht="33.29999923706055" customHeight="1">
      <x:c r="A97" s="9" t="s">
        <x:v>15</x:v>
      </x:c>
      <x:c r="B97" s="10" t="s">
        <x:v>1211</x:v>
      </x:c>
      <x:c r="C97" s="16" t="s">
        <x:v>114</x:v>
      </x:c>
      <x:c r="D97" s="10" t="s">
        <x:v>944</x:v>
      </x:c>
      <x:c r="E97" s="16" t="s">
        <x:v>946</x:v>
      </x:c>
      <x:c r="F97" s="10" t="s">
        <x:v>1815</x:v>
      </x:c>
      <x:c r="G97" s="10" t="s">
        <x:v>2200</x:v>
      </x:c>
      <x:c r="H97" s="10"/>
    </x:row>
    <x:row r="98" ht="33.29999923706055" customHeight="1">
      <x:c r="A98" s="6" t="s">
        <x:v>15</x:v>
      </x:c>
      <x:c r="B98" s="7" t="s">
        <x:v>1221</x:v>
      </x:c>
      <x:c r="C98" s="15" t="s">
        <x:v>114</x:v>
      </x:c>
      <x:c r="D98" s="7" t="s">
        <x:v>1209</x:v>
      </x:c>
      <x:c r="E98" s="15" t="s">
        <x:v>1210</x:v>
      </x:c>
      <x:c r="F98" s="7" t="s">
        <x:v>1971</x:v>
      </x:c>
      <x:c r="G98" s="7" t="s">
        <x:v>2200</x:v>
      </x:c>
      <x:c r="H98" s="7"/>
    </x:row>
    <x:row r="99" ht="33.29999923706055" customHeight="1">
      <x:c r="A99" s="9" t="s">
        <x:v>15</x:v>
      </x:c>
      <x:c r="B99" s="10" t="s">
        <x:v>1221</x:v>
      </x:c>
      <x:c r="C99" s="16" t="s">
        <x:v>114</x:v>
      </x:c>
      <x:c r="D99" s="10" t="s">
        <x:v>944</x:v>
      </x:c>
      <x:c r="E99" s="16" t="s">
        <x:v>946</x:v>
      </x:c>
      <x:c r="F99" s="10" t="s">
        <x:v>1815</x:v>
      </x:c>
      <x:c r="G99" s="10" t="s">
        <x:v>2200</x:v>
      </x:c>
      <x:c r="H99" s="10"/>
    </x:row>
    <x:row r="100" ht="33.29999923706055" customHeight="1">
      <x:c r="A100" s="6" t="s">
        <x:v>15</x:v>
      </x:c>
      <x:c r="B100" s="7" t="s">
        <x:v>1226</x:v>
      </x:c>
      <x:c r="C100" s="15" t="s">
        <x:v>114</x:v>
      </x:c>
      <x:c r="D100" s="7" t="s">
        <x:v>918</x:v>
      </x:c>
      <x:c r="E100" s="15" t="s">
        <x:v>920</x:v>
      </x:c>
      <x:c r="F100" s="7" t="s">
        <x:v>1804</x:v>
      </x:c>
      <x:c r="G100" s="7" t="s">
        <x:v>2200</x:v>
      </x:c>
      <x:c r="H100" s="7"/>
    </x:row>
    <x:row r="101" ht="33.29999923706055" customHeight="1">
      <x:c r="A101" s="9" t="s">
        <x:v>15</x:v>
      </x:c>
      <x:c r="B101" s="10" t="s">
        <x:v>1229</x:v>
      </x:c>
      <x:c r="C101" s="16" t="s">
        <x:v>114</x:v>
      </x:c>
      <x:c r="D101" s="10" t="s">
        <x:v>918</x:v>
      </x:c>
      <x:c r="E101" s="16" t="s">
        <x:v>920</x:v>
      </x:c>
      <x:c r="F101" s="10" t="s">
        <x:v>1804</x:v>
      </x:c>
      <x:c r="G101" s="10" t="s">
        <x:v>2200</x:v>
      </x:c>
      <x:c r="H101" s="10"/>
    </x:row>
    <x:row r="102" ht="33.29999923706055" customHeight="1">
      <x:c r="A102" s="6" t="s">
        <x:v>15</x:v>
      </x:c>
      <x:c r="B102" s="7" t="s">
        <x:v>1232</x:v>
      </x:c>
      <x:c r="C102" s="15" t="s">
        <x:v>114</x:v>
      </x:c>
      <x:c r="D102" s="7" t="s">
        <x:v>918</x:v>
      </x:c>
      <x:c r="E102" s="15" t="s">
        <x:v>920</x:v>
      </x:c>
      <x:c r="F102" s="7" t="s">
        <x:v>1804</x:v>
      </x:c>
      <x:c r="G102" s="7" t="s">
        <x:v>2200</x:v>
      </x:c>
      <x:c r="H102" s="7"/>
    </x:row>
    <x:row r="103" ht="33.29999923706055" customHeight="1">
      <x:c r="A103" s="9" t="s">
        <x:v>15</x:v>
      </x:c>
      <x:c r="B103" s="10" t="s">
        <x:v>1234</x:v>
      </x:c>
      <x:c r="C103" s="16" t="s">
        <x:v>114</x:v>
      </x:c>
      <x:c r="D103" s="10" t="s">
        <x:v>929</x:v>
      </x:c>
      <x:c r="E103" s="16" t="s">
        <x:v>931</x:v>
      </x:c>
      <x:c r="F103" s="10" t="s">
        <x:v>1808</x:v>
      </x:c>
      <x:c r="G103" s="10" t="s">
        <x:v>2200</x:v>
      </x:c>
      <x:c r="H103" s="10"/>
    </x:row>
    <x:row r="104" ht="33.29999923706055" customHeight="1">
      <x:c r="A104" s="6" t="s">
        <x:v>15</x:v>
      </x:c>
      <x:c r="B104" s="7" t="s">
        <x:v>1239</x:v>
      </x:c>
      <x:c r="C104" s="15" t="s">
        <x:v>114</x:v>
      </x:c>
      <x:c r="D104" s="7" t="s">
        <x:v>944</x:v>
      </x:c>
      <x:c r="E104" s="15" t="s">
        <x:v>946</x:v>
      </x:c>
      <x:c r="F104" s="7" t="s">
        <x:v>1815</x:v>
      </x:c>
      <x:c r="G104" s="7" t="s">
        <x:v>2200</x:v>
      </x:c>
      <x:c r="H104" s="7"/>
    </x:row>
    <x:row r="105" ht="33.29999923706055" customHeight="1">
      <x:c r="A105" s="9" t="s">
        <x:v>15</x:v>
      </x:c>
      <x:c r="B105" s="10" t="s">
        <x:v>1243</x:v>
      </x:c>
      <x:c r="C105" s="16" t="s">
        <x:v>114</x:v>
      </x:c>
      <x:c r="D105" s="10" t="s">
        <x:v>944</x:v>
      </x:c>
      <x:c r="E105" s="16" t="s">
        <x:v>946</x:v>
      </x:c>
      <x:c r="F105" s="10" t="s">
        <x:v>1815</x:v>
      </x:c>
      <x:c r="G105" s="10" t="s">
        <x:v>2200</x:v>
      </x:c>
      <x:c r="H105" s="10"/>
    </x:row>
    <x:row r="106" ht="33.29999923706055" customHeight="1">
      <x:c r="A106" s="6" t="s">
        <x:v>15</x:v>
      </x:c>
      <x:c r="B106" s="7" t="s">
        <x:v>1245</x:v>
      </x:c>
      <x:c r="C106" s="15" t="s">
        <x:v>114</x:v>
      </x:c>
      <x:c r="D106" s="7" t="s">
        <x:v>944</x:v>
      </x:c>
      <x:c r="E106" s="15" t="s">
        <x:v>946</x:v>
      </x:c>
      <x:c r="F106" s="7" t="s">
        <x:v>1815</x:v>
      </x:c>
      <x:c r="G106" s="7" t="s">
        <x:v>2200</x:v>
      </x:c>
      <x:c r="H106" s="7"/>
    </x:row>
    <x:row r="107" ht="33.29999923706055" customHeight="1">
      <x:c r="A107" s="9" t="s">
        <x:v>15</x:v>
      </x:c>
      <x:c r="B107" s="10" t="s">
        <x:v>1247</x:v>
      </x:c>
      <x:c r="C107" s="16" t="s">
        <x:v>114</x:v>
      </x:c>
      <x:c r="D107" s="10" t="s">
        <x:v>944</x:v>
      </x:c>
      <x:c r="E107" s="16" t="s">
        <x:v>946</x:v>
      </x:c>
      <x:c r="F107" s="10" t="s">
        <x:v>1815</x:v>
      </x:c>
      <x:c r="G107" s="10" t="s">
        <x:v>2200</x:v>
      </x:c>
      <x:c r="H107" s="10"/>
    </x:row>
    <x:row r="108" ht="33.29999923706055" customHeight="1">
      <x:c r="A108" s="6" t="s">
        <x:v>15</x:v>
      </x:c>
      <x:c r="B108" s="7" t="s">
        <x:v>1249</x:v>
      </x:c>
      <x:c r="C108" s="15" t="s">
        <x:v>135</x:v>
      </x:c>
      <x:c r="D108" s="7" t="s">
        <x:v>2206</x:v>
      </x:c>
      <x:c r="E108" s="15" t="s">
        <x:v>2207</x:v>
      </x:c>
      <x:c r="F108" s="7" t="s">
        <x:v>2208</x:v>
      </x:c>
      <x:c r="G108" s="7" t="s">
        <x:v>2200</x:v>
      </x:c>
      <x:c r="H108" s="7"/>
    </x:row>
    <x:row r="109" ht="33.29999923706055" customHeight="1">
      <x:c r="A109" s="9" t="s">
        <x:v>15</x:v>
      </x:c>
      <x:c r="B109" s="10" t="s">
        <x:v>1249</x:v>
      </x:c>
      <x:c r="C109" s="16" t="s">
        <x:v>135</x:v>
      </x:c>
      <x:c r="D109" s="10" t="s">
        <x:v>975</x:v>
      </x:c>
      <x:c r="E109" s="16" t="s">
        <x:v>977</x:v>
      </x:c>
      <x:c r="F109" s="10" t="s">
        <x:v>1832</x:v>
      </x:c>
      <x:c r="G109" s="10" t="s">
        <x:v>2200</x:v>
      </x:c>
      <x:c r="H109" s="10"/>
    </x:row>
    <x:row r="110" ht="33.29999923706055" customHeight="1">
      <x:c r="A110" s="6" t="s">
        <x:v>15</x:v>
      </x:c>
      <x:c r="B110" s="7" t="s">
        <x:v>1257</x:v>
      </x:c>
      <x:c r="C110" s="15" t="s">
        <x:v>135</x:v>
      </x:c>
      <x:c r="D110" s="7" t="s">
        <x:v>975</x:v>
      </x:c>
      <x:c r="E110" s="15" t="s">
        <x:v>977</x:v>
      </x:c>
      <x:c r="F110" s="7" t="s">
        <x:v>1832</x:v>
      </x:c>
      <x:c r="G110" s="7" t="s">
        <x:v>2200</x:v>
      </x:c>
      <x:c r="H110" s="7"/>
    </x:row>
    <x:row r="111" ht="33.29999923706055" customHeight="1">
      <x:c r="A111" s="9" t="s">
        <x:v>15</x:v>
      </x:c>
      <x:c r="B111" s="10" t="s">
        <x:v>1260</x:v>
      </x:c>
      <x:c r="C111" s="16" t="s">
        <x:v>135</x:v>
      </x:c>
      <x:c r="D111" s="10" t="s">
        <x:v>975</x:v>
      </x:c>
      <x:c r="E111" s="16" t="s">
        <x:v>977</x:v>
      </x:c>
      <x:c r="F111" s="10" t="s">
        <x:v>1832</x:v>
      </x:c>
      <x:c r="G111" s="10" t="s">
        <x:v>2200</x:v>
      </x:c>
      <x:c r="H111" s="10"/>
    </x:row>
    <x:row r="112" ht="33.29999923706055" customHeight="1">
      <x:c r="A112" s="6" t="s">
        <x:v>15</x:v>
      </x:c>
      <x:c r="B112" s="7" t="s">
        <x:v>1262</x:v>
      </x:c>
      <x:c r="C112" s="15" t="s">
        <x:v>135</x:v>
      </x:c>
      <x:c r="D112" s="7" t="s">
        <x:v>975</x:v>
      </x:c>
      <x:c r="E112" s="15" t="s">
        <x:v>977</x:v>
      </x:c>
      <x:c r="F112" s="7" t="s">
        <x:v>1832</x:v>
      </x:c>
      <x:c r="G112" s="7" t="s">
        <x:v>2200</x:v>
      </x:c>
      <x:c r="H112" s="7"/>
    </x:row>
    <x:row r="113" ht="33.29999923706055" customHeight="1">
      <x:c r="A113" s="9" t="s">
        <x:v>15</x:v>
      </x:c>
      <x:c r="B113" s="10" t="s">
        <x:v>1264</x:v>
      </x:c>
      <x:c r="C113" s="16" t="s">
        <x:v>135</x:v>
      </x:c>
      <x:c r="D113" s="10" t="s">
        <x:v>975</x:v>
      </x:c>
      <x:c r="E113" s="16" t="s">
        <x:v>977</x:v>
      </x:c>
      <x:c r="F113" s="10" t="s">
        <x:v>1832</x:v>
      </x:c>
      <x:c r="G113" s="10" t="s">
        <x:v>2200</x:v>
      </x:c>
      <x:c r="H113" s="10"/>
    </x:row>
    <x:row r="114" ht="33.29999923706055" customHeight="1">
      <x:c r="A114" s="6" t="s">
        <x:v>15</x:v>
      </x:c>
      <x:c r="B114" s="7" t="s">
        <x:v>1266</x:v>
      </x:c>
      <x:c r="C114" s="15" t="s">
        <x:v>135</x:v>
      </x:c>
      <x:c r="D114" s="7" t="s">
        <x:v>975</x:v>
      </x:c>
      <x:c r="E114" s="15" t="s">
        <x:v>977</x:v>
      </x:c>
      <x:c r="F114" s="7" t="s">
        <x:v>1832</x:v>
      </x:c>
      <x:c r="G114" s="7" t="s">
        <x:v>2200</x:v>
      </x:c>
      <x:c r="H114" s="7"/>
    </x:row>
    <x:row r="115" ht="33.29999923706055" customHeight="1">
      <x:c r="A115" s="9" t="s">
        <x:v>15</x:v>
      </x:c>
      <x:c r="B115" s="10" t="s">
        <x:v>1268</x:v>
      </x:c>
      <x:c r="C115" s="16" t="s">
        <x:v>135</x:v>
      </x:c>
      <x:c r="D115" s="10" t="s">
        <x:v>975</x:v>
      </x:c>
      <x:c r="E115" s="16" t="s">
        <x:v>977</x:v>
      </x:c>
      <x:c r="F115" s="10" t="s">
        <x:v>1832</x:v>
      </x:c>
      <x:c r="G115" s="10" t="s">
        <x:v>2200</x:v>
      </x:c>
      <x:c r="H115" s="10"/>
    </x:row>
    <x:row r="116" ht="33.29999923706055" customHeight="1">
      <x:c r="A116" s="6" t="s">
        <x:v>15</x:v>
      </x:c>
      <x:c r="B116" s="7" t="s">
        <x:v>1271</x:v>
      </x:c>
      <x:c r="C116" s="15" t="s">
        <x:v>135</x:v>
      </x:c>
      <x:c r="D116" s="7" t="s">
        <x:v>975</x:v>
      </x:c>
      <x:c r="E116" s="15" t="s">
        <x:v>977</x:v>
      </x:c>
      <x:c r="F116" s="7" t="s">
        <x:v>1832</x:v>
      </x:c>
      <x:c r="G116" s="7" t="s">
        <x:v>2200</x:v>
      </x:c>
      <x:c r="H116" s="7"/>
    </x:row>
    <x:row r="117" ht="33.29999923706055" customHeight="1">
      <x:c r="A117" s="9" t="s">
        <x:v>15</x:v>
      </x:c>
      <x:c r="B117" s="10" t="s">
        <x:v>1274</x:v>
      </x:c>
      <x:c r="C117" s="16" t="s">
        <x:v>135</x:v>
      </x:c>
      <x:c r="D117" s="10" t="s">
        <x:v>1277</x:v>
      </x:c>
      <x:c r="E117" s="16" t="s">
        <x:v>970</x:v>
      </x:c>
      <x:c r="F117" s="10" t="s">
        <x:v>1828</x:v>
      </x:c>
      <x:c r="G117" s="10" t="s">
        <x:v>2200</x:v>
      </x:c>
      <x:c r="H117" s="10"/>
    </x:row>
    <x:row r="118" ht="33.29999923706055" customHeight="1">
      <x:c r="A118" s="6" t="s">
        <x:v>15</x:v>
      </x:c>
      <x:c r="B118" s="7" t="s">
        <x:v>1279</x:v>
      </x:c>
      <x:c r="C118" s="15" t="s">
        <x:v>135</x:v>
      </x:c>
      <x:c r="D118" s="7" t="s">
        <x:v>1277</x:v>
      </x:c>
      <x:c r="E118" s="15" t="s">
        <x:v>970</x:v>
      </x:c>
      <x:c r="F118" s="7" t="s">
        <x:v>1828</x:v>
      </x:c>
      <x:c r="G118" s="7" t="s">
        <x:v>2200</x:v>
      </x:c>
      <x:c r="H118" s="7"/>
    </x:row>
    <x:row r="119" ht="33.29999923706055" customHeight="1">
      <x:c r="A119" s="9" t="s">
        <x:v>15</x:v>
      </x:c>
      <x:c r="B119" s="10" t="s">
        <x:v>1281</x:v>
      </x:c>
      <x:c r="C119" s="16" t="s">
        <x:v>135</x:v>
      </x:c>
      <x:c r="D119" s="10" t="s">
        <x:v>1277</x:v>
      </x:c>
      <x:c r="E119" s="16" t="s">
        <x:v>970</x:v>
      </x:c>
      <x:c r="F119" s="10" t="s">
        <x:v>1828</x:v>
      </x:c>
      <x:c r="G119" s="10" t="s">
        <x:v>2200</x:v>
      </x:c>
      <x:c r="H119" s="10"/>
    </x:row>
    <x:row r="120" ht="33.29999923706055" customHeight="1">
      <x:c r="A120" s="6" t="s">
        <x:v>15</x:v>
      </x:c>
      <x:c r="B120" s="7" t="s">
        <x:v>1285</x:v>
      </x:c>
      <x:c r="C120" s="15" t="s">
        <x:v>135</x:v>
      </x:c>
      <x:c r="D120" s="7" t="s">
        <x:v>1277</x:v>
      </x:c>
      <x:c r="E120" s="15" t="s">
        <x:v>970</x:v>
      </x:c>
      <x:c r="F120" s="7" t="s">
        <x:v>1828</x:v>
      </x:c>
      <x:c r="G120" s="7" t="s">
        <x:v>2200</x:v>
      </x:c>
      <x:c r="H120" s="7"/>
    </x:row>
    <x:row r="121" ht="33.29999923706055" customHeight="1">
      <x:c r="A121" s="9" t="s">
        <x:v>15</x:v>
      </x:c>
      <x:c r="B121" s="10" t="s">
        <x:v>1287</x:v>
      </x:c>
      <x:c r="C121" s="16" t="s">
        <x:v>150</x:v>
      </x:c>
      <x:c r="D121" s="10" t="s">
        <x:v>1028</x:v>
      </x:c>
      <x:c r="E121" s="16" t="s">
        <x:v>1008</x:v>
      </x:c>
      <x:c r="F121" s="10" t="s">
        <x:v>1854</x:v>
      </x:c>
      <x:c r="G121" s="10" t="s">
        <x:v>2200</x:v>
      </x:c>
      <x:c r="H121" s="10"/>
    </x:row>
    <x:row r="122" ht="33.29999923706055" customHeight="1">
      <x:c r="A122" s="6" t="s">
        <x:v>15</x:v>
      </x:c>
      <x:c r="B122" s="7" t="s">
        <x:v>1292</x:v>
      </x:c>
      <x:c r="C122" s="15" t="s">
        <x:v>150</x:v>
      </x:c>
      <x:c r="D122" s="7" t="s">
        <x:v>1028</x:v>
      </x:c>
      <x:c r="E122" s="15" t="s">
        <x:v>1008</x:v>
      </x:c>
      <x:c r="F122" s="7" t="s">
        <x:v>1854</x:v>
      </x:c>
      <x:c r="G122" s="7" t="s">
        <x:v>2200</x:v>
      </x:c>
      <x:c r="H122" s="7"/>
    </x:row>
    <x:row r="123" ht="33.29999923706055" customHeight="1">
      <x:c r="A123" s="9" t="s">
        <x:v>15</x:v>
      </x:c>
      <x:c r="B123" s="10" t="s">
        <x:v>1294</x:v>
      </x:c>
      <x:c r="C123" s="16" t="s">
        <x:v>150</x:v>
      </x:c>
      <x:c r="D123" s="10" t="s">
        <x:v>1028</x:v>
      </x:c>
      <x:c r="E123" s="16" t="s">
        <x:v>1008</x:v>
      </x:c>
      <x:c r="F123" s="10" t="s">
        <x:v>1854</x:v>
      </x:c>
      <x:c r="G123" s="10" t="s">
        <x:v>2200</x:v>
      </x:c>
      <x:c r="H123" s="10"/>
    </x:row>
    <x:row r="124" ht="33.29999923706055" customHeight="1">
      <x:c r="A124" s="6" t="s">
        <x:v>15</x:v>
      </x:c>
      <x:c r="B124" s="7" t="s">
        <x:v>1296</x:v>
      </x:c>
      <x:c r="C124" s="15" t="s">
        <x:v>150</x:v>
      </x:c>
      <x:c r="D124" s="7" t="s">
        <x:v>1028</x:v>
      </x:c>
      <x:c r="E124" s="15" t="s">
        <x:v>1008</x:v>
      </x:c>
      <x:c r="F124" s="7" t="s">
        <x:v>1854</x:v>
      </x:c>
      <x:c r="G124" s="7" t="s">
        <x:v>2200</x:v>
      </x:c>
      <x:c r="H124" s="7"/>
    </x:row>
    <x:row r="125" ht="33.29999923706055" customHeight="1">
      <x:c r="A125" s="9" t="s">
        <x:v>15</x:v>
      </x:c>
      <x:c r="B125" s="10" t="s">
        <x:v>1298</x:v>
      </x:c>
      <x:c r="C125" s="16" t="s">
        <x:v>150</x:v>
      </x:c>
      <x:c r="D125" s="10" t="s">
        <x:v>1302</x:v>
      </x:c>
      <x:c r="E125" s="16" t="s">
        <x:v>1303</x:v>
      </x:c>
      <x:c r="F125" s="10" t="s">
        <x:v>2054</x:v>
      </x:c>
      <x:c r="G125" s="10" t="s">
        <x:v>2200</x:v>
      </x:c>
      <x:c r="H125" s="10"/>
    </x:row>
    <x:row r="126" ht="33.29999923706055" customHeight="1">
      <x:c r="A126" s="6" t="s">
        <x:v>15</x:v>
      </x:c>
      <x:c r="B126" s="7" t="s">
        <x:v>1305</x:v>
      </x:c>
      <x:c r="C126" s="15" t="s">
        <x:v>150</x:v>
      </x:c>
      <x:c r="D126" s="7" t="s">
        <x:v>1302</x:v>
      </x:c>
      <x:c r="E126" s="15" t="s">
        <x:v>1303</x:v>
      </x:c>
      <x:c r="F126" s="7" t="s">
        <x:v>2054</x:v>
      </x:c>
      <x:c r="G126" s="7" t="s">
        <x:v>2200</x:v>
      </x:c>
      <x:c r="H126" s="7"/>
    </x:row>
    <x:row r="127" ht="33.29999923706055" customHeight="1">
      <x:c r="A127" s="9" t="s">
        <x:v>15</x:v>
      </x:c>
      <x:c r="B127" s="10" t="s">
        <x:v>1309</x:v>
      </x:c>
      <x:c r="C127" s="16" t="s">
        <x:v>150</x:v>
      </x:c>
      <x:c r="D127" s="10" t="s">
        <x:v>1302</x:v>
      </x:c>
      <x:c r="E127" s="16" t="s">
        <x:v>1303</x:v>
      </x:c>
      <x:c r="F127" s="10" t="s">
        <x:v>2054</x:v>
      </x:c>
      <x:c r="G127" s="10" t="s">
        <x:v>2200</x:v>
      </x:c>
      <x:c r="H127" s="10"/>
    </x:row>
    <x:row r="128" ht="33.29999923706055" customHeight="1">
      <x:c r="A128" s="6" t="s">
        <x:v>15</x:v>
      </x:c>
      <x:c r="B128" s="7" t="s">
        <x:v>1313</x:v>
      </x:c>
      <x:c r="C128" s="15" t="s">
        <x:v>150</x:v>
      </x:c>
      <x:c r="D128" s="7" t="s">
        <x:v>1302</x:v>
      </x:c>
      <x:c r="E128" s="15" t="s">
        <x:v>1303</x:v>
      </x:c>
      <x:c r="F128" s="7" t="s">
        <x:v>2054</x:v>
      </x:c>
      <x:c r="G128" s="7" t="s">
        <x:v>2200</x:v>
      </x:c>
      <x:c r="H128" s="7"/>
    </x:row>
    <x:row r="129" ht="33.29999923706055" customHeight="1">
      <x:c r="A129" s="9" t="s">
        <x:v>15</x:v>
      </x:c>
      <x:c r="B129" s="10" t="s">
        <x:v>1316</x:v>
      </x:c>
      <x:c r="C129" s="16" t="s">
        <x:v>164</x:v>
      </x:c>
      <x:c r="D129" s="10" t="s">
        <x:v>1041</x:v>
      </x:c>
      <x:c r="E129" s="16" t="s">
        <x:v>177</x:v>
      </x:c>
      <x:c r="F129" s="10" t="s">
        <x:v>1874</x:v>
      </x:c>
      <x:c r="G129" s="10" t="s">
        <x:v>2200</x:v>
      </x:c>
      <x:c r="H129" s="10"/>
    </x:row>
    <x:row r="130" ht="33.29999923706055" customHeight="1">
      <x:c r="A130" s="6" t="s">
        <x:v>15</x:v>
      </x:c>
      <x:c r="B130" s="7" t="s">
        <x:v>1318</x:v>
      </x:c>
      <x:c r="C130" s="15" t="s">
        <x:v>164</x:v>
      </x:c>
      <x:c r="D130" s="7" t="s">
        <x:v>1041</x:v>
      </x:c>
      <x:c r="E130" s="15" t="s">
        <x:v>177</x:v>
      </x:c>
      <x:c r="F130" s="7" t="s">
        <x:v>1874</x:v>
      </x:c>
      <x:c r="G130" s="7" t="s">
        <x:v>2200</x:v>
      </x:c>
      <x:c r="H130" s="7"/>
    </x:row>
    <x:row r="131" ht="33.29999923706055" customHeight="1">
      <x:c r="A131" s="9" t="s">
        <x:v>15</x:v>
      </x:c>
      <x:c r="B131" s="10" t="s">
        <x:v>1320</x:v>
      </x:c>
      <x:c r="C131" s="16" t="s">
        <x:v>164</x:v>
      </x:c>
      <x:c r="D131" s="10" t="s">
        <x:v>1041</x:v>
      </x:c>
      <x:c r="E131" s="16" t="s">
        <x:v>177</x:v>
      </x:c>
      <x:c r="F131" s="10" t="s">
        <x:v>1874</x:v>
      </x:c>
      <x:c r="G131" s="10" t="s">
        <x:v>2200</x:v>
      </x:c>
      <x:c r="H131" s="10"/>
    </x:row>
    <x:row r="132" ht="33.29999923706055" customHeight="1">
      <x:c r="A132" s="6" t="s">
        <x:v>15</x:v>
      </x:c>
      <x:c r="B132" s="7" t="s">
        <x:v>1323</x:v>
      </x:c>
      <x:c r="C132" s="15" t="s">
        <x:v>178</x:v>
      </x:c>
      <x:c r="D132" s="7" t="s">
        <x:v>1084</x:v>
      </x:c>
      <x:c r="E132" s="15" t="s">
        <x:v>191</x:v>
      </x:c>
      <x:c r="F132" s="7" t="s">
        <x:v>1899</x:v>
      </x:c>
      <x:c r="G132" s="7" t="s">
        <x:v>2200</x:v>
      </x:c>
      <x:c r="H132" s="7"/>
    </x:row>
    <x:row r="133" ht="33.29999923706055" customHeight="1">
      <x:c r="A133" s="9" t="s">
        <x:v>15</x:v>
      </x:c>
      <x:c r="B133" s="10" t="s">
        <x:v>1329</x:v>
      </x:c>
      <x:c r="C133" s="16" t="s">
        <x:v>178</x:v>
      </x:c>
      <x:c r="D133" s="10" t="s">
        <x:v>1084</x:v>
      </x:c>
      <x:c r="E133" s="16" t="s">
        <x:v>191</x:v>
      </x:c>
      <x:c r="F133" s="10" t="s">
        <x:v>1899</x:v>
      </x:c>
      <x:c r="G133" s="10" t="s">
        <x:v>2200</x:v>
      </x:c>
      <x:c r="H133" s="10"/>
    </x:row>
    <x:row r="134" ht="46.599998474121094" customHeight="1">
      <x:c r="A134" s="6" t="s">
        <x:v>15</x:v>
      </x:c>
      <x:c r="B134" s="7" t="s">
        <x:v>1332</x:v>
      </x:c>
      <x:c r="C134" s="15" t="s">
        <x:v>192</x:v>
      </x:c>
      <x:c r="D134" s="7" t="s">
        <x:v>1094</x:v>
      </x:c>
      <x:c r="E134" s="15" t="s">
        <x:v>207</x:v>
      </x:c>
      <x:c r="F134" s="7" t="s">
        <x:v>1906</x:v>
      </x:c>
      <x:c r="G134" s="7" t="s">
        <x:v>2200</x:v>
      </x:c>
      <x:c r="H134" s="7"/>
    </x:row>
    <x:row r="135" ht="33.29999923706055" customHeight="1">
      <x:c r="A135" s="9" t="s">
        <x:v>15</x:v>
      </x:c>
      <x:c r="B135" s="10" t="s">
        <x:v>1336</x:v>
      </x:c>
      <x:c r="C135" s="16" t="s">
        <x:v>208</x:v>
      </x:c>
      <x:c r="D135" s="10" t="s">
        <x:v>2218</x:v>
      </x:c>
      <x:c r="E135" s="16" t="s">
        <x:v>222</x:v>
      </x:c>
      <x:c r="F135" s="10" t="s">
        <x:v>2219</x:v>
      </x:c>
      <x:c r="G135" s="10" t="s">
        <x:v>2200</x:v>
      </x:c>
      <x:c r="H135" s="10"/>
    </x:row>
    <x:row r="136" ht="33.29999923706055" customHeight="1">
      <x:c r="A136" s="6" t="s">
        <x:v>15</x:v>
      </x:c>
      <x:c r="B136" s="7" t="s">
        <x:v>1336</x:v>
      </x:c>
      <x:c r="C136" s="15" t="s">
        <x:v>208</x:v>
      </x:c>
      <x:c r="D136" s="7" t="s">
        <x:v>2224</x:v>
      </x:c>
      <x:c r="E136" s="15" t="s">
        <x:v>251</x:v>
      </x:c>
      <x:c r="F136" s="7" t="s">
        <x:v>2225</x:v>
      </x:c>
      <x:c r="G136" s="7" t="s">
        <x:v>2200</x:v>
      </x:c>
      <x:c r="H136" s="7"/>
    </x:row>
    <x:row r="137" ht="33.29999923706055" customHeight="1">
      <x:c r="A137" s="9" t="s">
        <x:v>15</x:v>
      </x:c>
      <x:c r="B137" s="10" t="s">
        <x:v>1343</x:v>
      </x:c>
      <x:c r="C137" s="16" t="s">
        <x:v>223</x:v>
      </x:c>
      <x:c r="D137" s="10" t="s">
        <x:v>1347</x:v>
      </x:c>
      <x:c r="E137" s="16" t="s">
        <x:v>1348</x:v>
      </x:c>
      <x:c r="F137" s="10" t="s">
        <x:v>2088</x:v>
      </x:c>
      <x:c r="G137" s="10" t="s">
        <x:v>2200</x:v>
      </x:c>
      <x:c r="H137" s="10"/>
    </x:row>
    <x:row r="138" ht="33.29999923706055" customHeight="1">
      <x:c r="A138" s="6" t="s">
        <x:v>15</x:v>
      </x:c>
      <x:c r="B138" s="7" t="s">
        <x:v>1350</x:v>
      </x:c>
      <x:c r="C138" s="15" t="s">
        <x:v>223</x:v>
      </x:c>
      <x:c r="D138" s="7" t="s">
        <x:v>1347</x:v>
      </x:c>
      <x:c r="E138" s="15" t="s">
        <x:v>1348</x:v>
      </x:c>
      <x:c r="F138" s="7" t="s">
        <x:v>2088</x:v>
      </x:c>
      <x:c r="G138" s="7" t="s">
        <x:v>2200</x:v>
      </x:c>
      <x:c r="H138" s="7"/>
    </x:row>
    <x:row r="139" ht="33.29999923706055" customHeight="1">
      <x:c r="A139" s="9" t="s">
        <x:v>15</x:v>
      </x:c>
      <x:c r="B139" s="10" t="s">
        <x:v>1353</x:v>
      </x:c>
      <x:c r="C139" s="16" t="s">
        <x:v>237</x:v>
      </x:c>
      <x:c r="D139" s="10" t="s">
        <x:v>1124</x:v>
      </x:c>
      <x:c r="E139" s="16" t="s">
        <x:v>1126</x:v>
      </x:c>
      <x:c r="F139" s="10" t="s">
        <x:v>1922</x:v>
      </x:c>
      <x:c r="G139" s="10" t="s">
        <x:v>2200</x:v>
      </x:c>
      <x:c r="H139" s="10"/>
    </x:row>
    <x:row r="140" ht="33.29999923706055" customHeight="1">
      <x:c r="A140" s="6" t="s">
        <x:v>15</x:v>
      </x:c>
      <x:c r="B140" s="7" t="s">
        <x:v>1357</x:v>
      </x:c>
      <x:c r="C140" s="15" t="s">
        <x:v>237</x:v>
      </x:c>
      <x:c r="D140" s="7" t="s">
        <x:v>1124</x:v>
      </x:c>
      <x:c r="E140" s="15" t="s">
        <x:v>1126</x:v>
      </x:c>
      <x:c r="F140" s="7" t="s">
        <x:v>1922</x:v>
      </x:c>
      <x:c r="G140" s="7" t="s">
        <x:v>2200</x:v>
      </x:c>
      <x:c r="H140" s="7"/>
    </x:row>
    <x:row r="141" ht="33.29999923706055" customHeight="1">
      <x:c r="A141" s="9" t="s">
        <x:v>15</x:v>
      </x:c>
      <x:c r="B141" s="10" t="s">
        <x:v>1360</x:v>
      </x:c>
      <x:c r="C141" s="16" t="s">
        <x:v>237</x:v>
      </x:c>
      <x:c r="D141" s="10" t="s">
        <x:v>1124</x:v>
      </x:c>
      <x:c r="E141" s="16" t="s">
        <x:v>1126</x:v>
      </x:c>
      <x:c r="F141" s="10" t="s">
        <x:v>1922</x:v>
      </x:c>
      <x:c r="G141" s="10" t="s">
        <x:v>2200</x:v>
      </x:c>
      <x:c r="H141" s="10"/>
    </x:row>
    <x:row r="142" ht="33.29999923706055" customHeight="1">
      <x:c r="A142" s="6" t="s">
        <x:v>15</x:v>
      </x:c>
      <x:c r="B142" s="7" t="s">
        <x:v>1364</x:v>
      </x:c>
      <x:c r="C142" s="15" t="s">
        <x:v>252</x:v>
      </x:c>
      <x:c r="D142" s="7" t="s">
        <x:v>1130</x:v>
      </x:c>
      <x:c r="E142" s="15" t="s">
        <x:v>266</x:v>
      </x:c>
      <x:c r="F142" s="7" t="s">
        <x:v>1926</x:v>
      </x:c>
      <x:c r="G142" s="7" t="s">
        <x:v>2200</x:v>
      </x:c>
      <x:c r="H142" s="7"/>
    </x:row>
    <x:row r="143" ht="33.29999923706055" customHeight="1">
      <x:c r="A143" s="9" t="s">
        <x:v>15</x:v>
      </x:c>
      <x:c r="B143" s="10" t="s">
        <x:v>1367</x:v>
      </x:c>
      <x:c r="C143" s="16" t="s">
        <x:v>252</x:v>
      </x:c>
      <x:c r="D143" s="10" t="s">
        <x:v>1130</x:v>
      </x:c>
      <x:c r="E143" s="16" t="s">
        <x:v>266</x:v>
      </x:c>
      <x:c r="F143" s="10" t="s">
        <x:v>1926</x:v>
      </x:c>
      <x:c r="G143" s="10" t="s">
        <x:v>2200</x:v>
      </x:c>
      <x:c r="H143" s="10"/>
    </x:row>
    <x:row r="144" ht="33.29999923706055" customHeight="1">
      <x:c r="A144" s="6" t="s">
        <x:v>15</x:v>
      </x:c>
      <x:c r="B144" s="7" t="s">
        <x:v>1370</x:v>
      </x:c>
      <x:c r="C144" s="15" t="s">
        <x:v>252</x:v>
      </x:c>
      <x:c r="D144" s="7" t="s">
        <x:v>1130</x:v>
      </x:c>
      <x:c r="E144" s="15" t="s">
        <x:v>266</x:v>
      </x:c>
      <x:c r="F144" s="7" t="s">
        <x:v>1926</x:v>
      </x:c>
      <x:c r="G144" s="7" t="s">
        <x:v>2200</x:v>
      </x:c>
      <x:c r="H144" s="7"/>
    </x:row>
    <x:row r="145" ht="33.29999923706055" customHeight="1">
      <x:c r="A145" s="9" t="s">
        <x:v>15</x:v>
      </x:c>
      <x:c r="B145" s="10" t="s">
        <x:v>1373</x:v>
      </x:c>
      <x:c r="C145" s="16" t="s">
        <x:v>267</x:v>
      </x:c>
      <x:c r="D145" s="10" t="s">
        <x:v>1141</x:v>
      </x:c>
      <x:c r="E145" s="16" t="s">
        <x:v>280</x:v>
      </x:c>
      <x:c r="F145" s="10" t="s">
        <x:v>1933</x:v>
      </x:c>
      <x:c r="G145" s="10" t="s">
        <x:v>2200</x:v>
      </x:c>
      <x:c r="H145" s="10"/>
    </x:row>
    <x:row r="146" ht="33.29999923706055" customHeight="1">
      <x:c r="A146" s="6" t="s">
        <x:v>15</x:v>
      </x:c>
      <x:c r="B146" s="7" t="s">
        <x:v>1373</x:v>
      </x:c>
      <x:c r="C146" s="15" t="s">
        <x:v>267</x:v>
      </x:c>
      <x:c r="D146" s="7" t="s">
        <x:v>1302</x:v>
      </x:c>
      <x:c r="E146" s="15" t="s">
        <x:v>1303</x:v>
      </x:c>
      <x:c r="F146" s="7" t="s">
        <x:v>2054</x:v>
      </x:c>
      <x:c r="G146" s="7" t="s">
        <x:v>2200</x:v>
      </x:c>
      <x:c r="H146" s="7"/>
    </x:row>
    <x:row r="147" ht="33.29999923706055" customHeight="1">
      <x:c r="A147" s="9" t="s">
        <x:v>15</x:v>
      </x:c>
      <x:c r="B147" s="10" t="s">
        <x:v>1380</x:v>
      </x:c>
      <x:c r="C147" s="16" t="s">
        <x:v>267</x:v>
      </x:c>
      <x:c r="D147" s="10" t="s">
        <x:v>1302</x:v>
      </x:c>
      <x:c r="E147" s="16" t="s">
        <x:v>1303</x:v>
      </x:c>
      <x:c r="F147" s="10" t="s">
        <x:v>2054</x:v>
      </x:c>
      <x:c r="G147" s="10" t="s">
        <x:v>2200</x:v>
      </x:c>
      <x:c r="H147" s="10"/>
    </x:row>
    <x:row r="148" ht="33.29999923706055" customHeight="1">
      <x:c r="A148" s="6" t="s">
        <x:v>15</x:v>
      </x:c>
      <x:c r="B148" s="7" t="s">
        <x:v>1383</x:v>
      </x:c>
      <x:c r="C148" s="15" t="s">
        <x:v>267</x:v>
      </x:c>
      <x:c r="D148" s="7" t="s">
        <x:v>1387</x:v>
      </x:c>
      <x:c r="E148" s="15" t="s">
        <x:v>1388</x:v>
      </x:c>
      <x:c r="F148" s="7" t="s">
        <x:v>2119</x:v>
      </x:c>
      <x:c r="G148" s="7" t="s">
        <x:v>2200</x:v>
      </x:c>
      <x:c r="H148" s="7"/>
    </x:row>
    <x:row r="149" ht="33.29999923706055" customHeight="1">
      <x:c r="A149" s="9" t="s">
        <x:v>15</x:v>
      </x:c>
      <x:c r="B149" s="10" t="s">
        <x:v>1390</x:v>
      </x:c>
      <x:c r="C149" s="16" t="s">
        <x:v>267</x:v>
      </x:c>
      <x:c r="D149" s="10" t="s">
        <x:v>1387</x:v>
      </x:c>
      <x:c r="E149" s="16" t="s">
        <x:v>1388</x:v>
      </x:c>
      <x:c r="F149" s="10" t="s">
        <x:v>2119</x:v>
      </x:c>
      <x:c r="G149" s="10" t="s">
        <x:v>2200</x:v>
      </x:c>
      <x:c r="H149" s="10"/>
    </x:row>
    <x:row r="150" ht="33.29999923706055" customHeight="1">
      <x:c r="A150" s="6" t="s">
        <x:v>15</x:v>
      </x:c>
      <x:c r="B150" s="7" t="s">
        <x:v>1394</x:v>
      </x:c>
      <x:c r="C150" s="15" t="s">
        <x:v>294</x:v>
      </x:c>
      <x:c r="D150" s="7" t="s">
        <x:v>1398</x:v>
      </x:c>
      <x:c r="E150" s="15" t="s">
        <x:v>306</x:v>
      </x:c>
      <x:c r="F150" s="7" t="s">
        <x:v>1940</x:v>
      </x:c>
      <x:c r="G150" s="7" t="s">
        <x:v>2200</x:v>
      </x:c>
      <x:c r="H150" s="7"/>
    </x:row>
    <x:row r="151" ht="33.29999923706055" customHeight="1">
      <x:c r="A151" s="9" t="s">
        <x:v>15</x:v>
      </x:c>
      <x:c r="B151" s="10" t="s">
        <x:v>1400</x:v>
      </x:c>
      <x:c r="C151" s="16" t="s">
        <x:v>294</x:v>
      </x:c>
      <x:c r="D151" s="10" t="s">
        <x:v>1398</x:v>
      </x:c>
      <x:c r="E151" s="16" t="s">
        <x:v>306</x:v>
      </x:c>
      <x:c r="F151" s="10" t="s">
        <x:v>1940</x:v>
      </x:c>
      <x:c r="G151" s="10" t="s">
        <x:v>2200</x:v>
      </x:c>
      <x:c r="H151" s="10"/>
    </x:row>
    <x:row r="152" ht="33.29999923706055" customHeight="1">
      <x:c r="A152" s="6" t="s">
        <x:v>15</x:v>
      </x:c>
      <x:c r="B152" s="7" t="s">
        <x:v>1402</x:v>
      </x:c>
      <x:c r="C152" s="15" t="s">
        <x:v>294</x:v>
      </x:c>
      <x:c r="D152" s="7" t="s">
        <x:v>1398</x:v>
      </x:c>
      <x:c r="E152" s="15" t="s">
        <x:v>306</x:v>
      </x:c>
      <x:c r="F152" s="7" t="s">
        <x:v>1940</x:v>
      </x:c>
      <x:c r="G152" s="7" t="s">
        <x:v>2200</x:v>
      </x:c>
      <x:c r="H152" s="7"/>
    </x:row>
    <x:row r="153" ht="46.599998474121094" customHeight="1">
      <x:c r="A153" s="9" t="s">
        <x:v>15</x:v>
      </x:c>
      <x:c r="B153" s="10" t="s">
        <x:v>1404</x:v>
      </x:c>
      <x:c r="C153" s="16" t="s">
        <x:v>307</x:v>
      </x:c>
      <x:c r="D153" s="10" t="s">
        <x:v>1155</x:v>
      </x:c>
      <x:c r="E153" s="16" t="s">
        <x:v>320</x:v>
      </x:c>
      <x:c r="F153" s="10" t="s">
        <x:v>1944</x:v>
      </x:c>
      <x:c r="G153" s="10" t="s">
        <x:v>2200</x:v>
      </x:c>
      <x:c r="H153" s="10"/>
    </x:row>
    <x:row r="154" ht="46.599998474121094" customHeight="1">
      <x:c r="A154" s="6" t="s">
        <x:v>15</x:v>
      </x:c>
      <x:c r="B154" s="7" t="s">
        <x:v>1411</x:v>
      </x:c>
      <x:c r="C154" s="15" t="s">
        <x:v>307</x:v>
      </x:c>
      <x:c r="D154" s="7" t="s">
        <x:v>1155</x:v>
      </x:c>
      <x:c r="E154" s="15" t="s">
        <x:v>320</x:v>
      </x:c>
      <x:c r="F154" s="7" t="s">
        <x:v>1944</x:v>
      </x:c>
      <x:c r="G154" s="7" t="s">
        <x:v>2200</x:v>
      </x:c>
      <x:c r="H154" s="7"/>
    </x:row>
    <x:row r="155" ht="33.29999923706055" customHeight="1">
      <x:c r="A155" s="9" t="s">
        <x:v>15</x:v>
      </x:c>
      <x:c r="B155" s="10" t="s">
        <x:v>1412</x:v>
      </x:c>
      <x:c r="C155" s="16" t="s">
        <x:v>370</x:v>
      </x:c>
      <x:c r="D155" s="10" t="s">
        <x:v>1416</x:v>
      </x:c>
      <x:c r="E155" s="16" t="s">
        <x:v>1417</x:v>
      </x:c>
      <x:c r="F155" s="10" t="s">
        <x:v>2141</x:v>
      </x:c>
      <x:c r="G155" s="10" t="s">
        <x:v>2200</x:v>
      </x:c>
      <x:c r="H155" s="10"/>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25" customWidth="1"/>
    <x:col min="2" max="2" width="23" customWidth="1"/>
    <x:col min="3" max="3" width="28" customWidth="1"/>
    <x:col min="4" max="4" width="27" customWidth="1"/>
    <x:col min="5" max="5" width="23" customWidth="1"/>
    <x:col min="6" max="6" width="20" customWidth="1"/>
    <x:col min="7" max="7" width="28" customWidth="1"/>
    <x:col min="8" max="9" width="18" customWidth="1"/>
    <x:col min="10" max="10" width="19" customWidth="1"/>
    <x:col min="11" max="11" width="18" customWidth="1"/>
    <x:col min="12" max="12" width="19" customWidth="1"/>
    <x:col min="13" max="13" width="31" customWidth="1"/>
    <x:col min="14" max="14" width="26" customWidth="1"/>
    <x:col min="15" max="15" width="19" customWidth="1"/>
  </x:cols>
  <x:sheetData>
    <x:row r="1" ht="42" customHeight="1">
      <x:c r="A1" s="2" t="s">
        <x:v>92</x:v>
      </x:c>
      <x:c r="B1" s="2" t="s">
        <x:v>93</x:v>
      </x:c>
      <x:c r="C1" s="2" t="s">
        <x:v>94</x:v>
      </x:c>
      <x:c r="D1" s="2" t="s">
        <x:v>97</x:v>
      </x:c>
      <x:c r="E1" s="2" t="s">
        <x:v>98</x:v>
      </x:c>
      <x:c r="F1" s="2" t="s">
        <x:v>879</x:v>
      </x:c>
      <x:c r="G1" s="2" t="s">
        <x:v>882</x:v>
      </x:c>
      <x:c r="H1" s="2" t="s">
        <x:v>1194</x:v>
      </x:c>
      <x:c r="I1" s="2" t="s">
        <x:v>1195</x:v>
      </x:c>
      <x:c r="J1" s="2" t="s">
        <x:v>1198</x:v>
      </x:c>
      <x:c r="K1" s="2" t="s">
        <x:v>2271</x:v>
      </x:c>
      <x:c r="L1" s="2" t="s">
        <x:v>1197</x:v>
      </x:c>
      <x:c r="M1" s="2" t="s">
        <x:v>1788</x:v>
      </x:c>
      <x:c r="N1" s="2" t="s">
        <x:v>1789</x:v>
      </x:c>
      <x:c r="O1" s="2" t="s">
        <x:v>2272</x:v>
      </x:c>
    </x:row>
    <x:row r="2" ht="46.599998474121094" customHeight="1">
      <x:c r="A2" s="4" t="s">
        <x:v>122</x:v>
      </x:c>
      <x:c r="B2" s="1" t="s">
        <x:v>123</x:v>
      </x:c>
      <x:c r="C2" s="1" t="s">
        <x:v>124</x:v>
      </x:c>
      <x:c r="D2" s="1" t="s">
        <x:v>407</x:v>
      </x:c>
      <x:c r="E2" s="1" t="s">
        <x:v>258</x:v>
      </x:c>
      <x:c r="F2" s="1" t="s">
        <x:v>897</x:v>
      </x:c>
      <x:c r="G2" s="1" t="s">
        <x:v>899</x:v>
      </x:c>
      <x:c r="H2" s="1" t="s">
        <x:v>1203</x:v>
      </x:c>
      <x:c r="I2" s="1" t="s">
        <x:v>1213</x:v>
      </x:c>
      <x:c r="J2" s="1" t="s">
        <x:v>1223</x:v>
      </x:c>
      <x:c r="K2" s="1" t="s">
        <x:v>1216</x:v>
      </x:c>
      <x:c r="L2" s="1" t="s">
        <x:v>1250</x:v>
      </x:c>
      <x:c r="M2" s="1" t="s">
        <x:v>2273</x:v>
      </x:c>
      <x:c r="N2" s="1" t="s">
        <x:v>2274</x:v>
      </x:c>
      <x:c r="O2" s="1" t="s">
        <x:v>463</x:v>
      </x:c>
    </x:row>
    <x:row r="3" ht="46.599998474121094" customHeight="1">
      <x:c r="A3" s="5" t="s">
        <x:v>243</x:v>
      </x:c>
      <x:c r="B3" s="3" t="s">
        <x:v>200</x:v>
      </x:c>
      <x:c r="C3" s="3" t="s">
        <x:v>2275</x:v>
      </x:c>
      <x:c r="D3" s="3" t="s">
        <x:v>326</x:v>
      </x:c>
      <x:c r="E3" s="3" t="s">
        <x:v>184</x:v>
      </x:c>
      <x:c r="F3" s="3" t="s">
        <x:v>923</x:v>
      </x:c>
      <x:c r="G3" s="3" t="s">
        <x:v>964</x:v>
      </x:c>
      <x:c r="H3" s="3" t="s">
        <x:v>1282</x:v>
      </x:c>
      <x:c r="I3" s="3" t="s">
        <x:v>1204</x:v>
      </x:c>
      <x:c r="J3" s="3" t="s">
        <x:v>1205</x:v>
      </x:c>
      <x:c r="K3" s="3" t="s">
        <x:v>1224</x:v>
      </x:c>
      <x:c r="L3" s="3" t="s">
        <x:v>1214</x:v>
      </x:c>
      <x:c r="M3" s="3" t="s">
        <x:v>2276</x:v>
      </x:c>
      <x:c r="N3" s="3" t="s">
        <x:v>2277</x:v>
      </x:c>
      <x:c r="O3" s="3" t="s">
        <x:v>2278</x:v>
      </x:c>
    </x:row>
    <x:row r="4" ht="46.599998474121094" customHeight="1">
      <x:c r="A4" s="4"/>
      <x:c r="B4" s="1" t="s">
        <x:v>2279</x:v>
      </x:c>
      <x:c r="C4" s="1" t="s">
        <x:v>2278</x:v>
      </x:c>
      <x:c r="D4" s="1" t="s">
        <x:v>719</x:v>
      </x:c>
      <x:c r="E4" s="1" t="s">
        <x:v>126</x:v>
      </x:c>
      <x:c r="F4" s="1" t="s">
        <x:v>2280</x:v>
      </x:c>
      <x:c r="G4" s="1" t="s">
        <x:v>1087</x:v>
      </x:c>
      <x:c r="H4" s="1" t="s">
        <x:v>1212</x:v>
      </x:c>
      <x:c r="I4" s="1" t="s">
        <x:v>2281</x:v>
      </x:c>
      <x:c r="J4" s="1" t="s">
        <x:v>2282</x:v>
      </x:c>
      <x:c r="K4" s="1" t="s">
        <x:v>1215</x:v>
      </x:c>
      <x:c r="L4" s="1" t="s">
        <x:v>1344</x:v>
      </x:c>
      <x:c r="M4" s="1" t="s">
        <x:v>2283</x:v>
      </x:c>
      <x:c r="N4" s="1" t="s">
        <x:v>2284</x:v>
      </x:c>
      <x:c r="O4" s="1"/>
    </x:row>
    <x:row r="5" ht="46.599998474121094" customHeight="1">
      <x:c r="A5" s="5"/>
      <x:c r="B5" s="3" t="s">
        <x:v>2285</x:v>
      </x:c>
      <x:c r="C5" s="3" t="s">
        <x:v>463</x:v>
      </x:c>
      <x:c r="D5" s="3" t="s">
        <x:v>125</x:v>
      </x:c>
      <x:c r="E5" s="3"/>
      <x:c r="F5" s="3" t="s">
        <x:v>2286</x:v>
      </x:c>
      <x:c r="G5" s="3" t="s">
        <x:v>934</x:v>
      </x:c>
      <x:c r="H5" s="3" t="s">
        <x:v>1222</x:v>
      </x:c>
      <x:c r="I5" s="3" t="s">
        <x:v>1236</x:v>
      </x:c>
      <x:c r="J5" s="3"/>
      <x:c r="K5" s="3" t="s">
        <x:v>1269</x:v>
      </x:c>
      <x:c r="L5" s="3" t="s">
        <x:v>1235</x:v>
      </x:c>
      <x:c r="M5" s="3" t="s">
        <x:v>964</x:v>
      </x:c>
      <x:c r="N5" s="3" t="s">
        <x:v>2287</x:v>
      </x:c>
      <x:c r="O5" s="3"/>
    </x:row>
    <x:row r="6" ht="46.599998474121094" customHeight="1">
      <x:c r="A6" s="4"/>
      <x:c r="B6" s="1" t="s">
        <x:v>2288</x:v>
      </x:c>
      <x:c r="C6" s="1"/>
      <x:c r="D6" s="1" t="s">
        <x:v>2289</x:v>
      </x:c>
      <x:c r="E6" s="1"/>
      <x:c r="F6" s="1" t="s">
        <x:v>2290</x:v>
      </x:c>
      <x:c r="G6" s="1"/>
      <x:c r="H6" s="1" t="s">
        <x:v>1310</x:v>
      </x:c>
      <x:c r="I6" s="1"/>
      <x:c r="J6" s="1"/>
      <x:c r="K6" s="1" t="s">
        <x:v>1236</x:v>
      </x:c>
      <x:c r="L6" s="1" t="s">
        <x:v>1236</x:v>
      </x:c>
      <x:c r="M6" s="1" t="s">
        <x:v>2291</x:v>
      </x:c>
      <x:c r="N6" s="1" t="s">
        <x:v>2292</x:v>
      </x:c>
      <x:c r="O6" s="1"/>
    </x:row>
    <x:row r="7" ht="46.599998474121094" customHeight="1">
      <x:c r="A7" s="5"/>
      <x:c r="B7" s="3" t="s">
        <x:v>865</x:v>
      </x:c>
      <x:c r="C7" s="3"/>
      <x:c r="D7" s="3"/>
      <x:c r="E7" s="3"/>
      <x:c r="F7" s="3" t="s">
        <x:v>2293</x:v>
      </x:c>
      <x:c r="G7" s="3"/>
      <x:c r="H7" s="3" t="s">
        <x:v>1321</x:v>
      </x:c>
      <x:c r="I7" s="3"/>
      <x:c r="J7" s="3"/>
      <x:c r="K7" s="3"/>
      <x:c r="L7" s="3"/>
      <x:c r="M7" s="3" t="s">
        <x:v>2294</x:v>
      </x:c>
      <x:c r="N7" s="3" t="s">
        <x:v>1235</x:v>
      </x:c>
      <x:c r="O7" s="3"/>
    </x:row>
    <x:row r="8" ht="46.599998474121094" customHeight="1">
      <x:c r="A8" s="4"/>
      <x:c r="B8" s="1" t="s">
        <x:v>2293</x:v>
      </x:c>
      <x:c r="C8" s="1"/>
      <x:c r="D8" s="1"/>
      <x:c r="E8" s="1"/>
      <x:c r="F8" s="1"/>
      <x:c r="G8" s="1"/>
      <x:c r="H8" s="1" t="s">
        <x:v>1371</x:v>
      </x:c>
      <x:c r="I8" s="1"/>
      <x:c r="J8" s="1"/>
      <x:c r="K8" s="1"/>
      <x:c r="L8" s="1"/>
      <x:c r="M8" s="1" t="s">
        <x:v>2295</x:v>
      </x:c>
      <x:c r="N8" s="1" t="s">
        <x:v>1797</x:v>
      </x:c>
      <x:c r="O8" s="1"/>
    </x:row>
    <x:row r="9" ht="33.29999923706055" customHeight="1">
      <x:c r="A9" s="5"/>
      <x:c r="B9" s="3"/>
      <x:c r="C9" s="3"/>
      <x:c r="D9" s="3"/>
      <x:c r="E9" s="3"/>
      <x:c r="F9" s="3"/>
      <x:c r="G9" s="3"/>
      <x:c r="H9" s="3" t="s">
        <x:v>1235</x:v>
      </x:c>
      <x:c r="I9" s="3"/>
      <x:c r="J9" s="3"/>
      <x:c r="K9" s="3"/>
      <x:c r="L9" s="3"/>
      <x:c r="M9" s="3" t="s">
        <x:v>1796</x:v>
      </x:c>
      <x:c r="N9" s="3"/>
      <x:c r="O9" s="3"/>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3.5"/>
  <x:cols>
    <x:col min="1" max="1" width="30" customWidth="1"/>
    <x:col min="2" max="2" width="100" customWidth="1"/>
    <x:col min="3" max="3" width="48" customWidth="1"/>
    <x:col min="4" max="4" width="68" customWidth="1"/>
    <x:col min="5" max="5" width="52" customWidth="1"/>
    <x:col min="6" max="6" width="20" customWidth="1"/>
  </x:cols>
  <x:sheetData>
    <x:row r="1" ht="42" customHeight="1">
      <x:c r="A1" s="2" t="s">
        <x:v>2193</x:v>
      </x:c>
      <x:c r="B1" s="2" t="s">
        <x:v>2296</x:v>
      </x:c>
      <x:c r="C1" s="2" t="s">
        <x:v>2194</x:v>
      </x:c>
      <x:c r="D1" s="2" t="s">
        <x:v>2195</x:v>
      </x:c>
      <x:c r="E1" s="2" t="s">
        <x:v>2297</x:v>
      </x:c>
      <x:c r="F1" s="2" t="s">
        <x:v>2298</x:v>
      </x:c>
    </x:row>
    <x:row r="2" ht="33.29999923706055" customHeight="1">
      <x:c r="A2" s="4" t="s">
        <x:v>1060</x:v>
      </x:c>
      <x:c r="B2" s="1" t="s">
        <x:v>2299</x:v>
      </x:c>
      <x:c r="C2" s="22" t="s">
        <x:v>1062</x:v>
      </x:c>
      <x:c r="D2" s="1" t="s">
        <x:v>1885</x:v>
      </x:c>
      <x:c r="E2" s="1" t="s">
        <x:v>2300</x:v>
      </x:c>
      <x:c r="F2" s="1">
        <x:v>1</x:v>
      </x:c>
    </x:row>
    <x:row r="3" ht="33.29999923706055" customHeight="1">
      <x:c r="A3" s="5" t="s">
        <x:v>2228</x:v>
      </x:c>
      <x:c r="B3" s="3" t="s">
        <x:v>2301</x:v>
      </x:c>
      <x:c r="C3" s="23" t="s">
        <x:v>348</x:v>
      </x:c>
      <x:c r="D3" s="3" t="s">
        <x:v>2229</x:v>
      </x:c>
      <x:c r="E3" s="3" t="s">
        <x:v>2300</x:v>
      </x:c>
      <x:c r="F3" s="3">
        <x:v>1</x:v>
      </x:c>
    </x:row>
    <x:row r="4" ht="33.29999923706055" customHeight="1">
      <x:c r="A4" s="4" t="s">
        <x:v>2265</x:v>
      </x:c>
      <x:c r="B4" s="1" t="s">
        <x:v>2302</x:v>
      </x:c>
      <x:c r="C4" s="22" t="s">
        <x:v>2266</x:v>
      </x:c>
      <x:c r="D4" s="1" t="s">
        <x:v>2267</x:v>
      </x:c>
      <x:c r="E4" s="1" t="s">
        <x:v>2300</x:v>
      </x:c>
      <x:c r="F4" s="1">
        <x:v>2</x:v>
      </x:c>
    </x:row>
    <x:row r="5" ht="33.29999923706055" customHeight="1">
      <x:c r="A5" s="5" t="s">
        <x:v>2224</x:v>
      </x:c>
      <x:c r="B5" s="3" t="s">
        <x:v>2303</x:v>
      </x:c>
      <x:c r="C5" s="23" t="s">
        <x:v>251</x:v>
      </x:c>
      <x:c r="D5" s="3" t="s">
        <x:v>2225</x:v>
      </x:c>
      <x:c r="E5" s="3" t="s">
        <x:v>2300</x:v>
      </x:c>
      <x:c r="F5" s="3">
        <x:v>2</x:v>
      </x:c>
    </x:row>
    <x:row r="6" ht="46.599998474121094" customHeight="1">
      <x:c r="A6" s="4" t="s">
        <x:v>2259</x:v>
      </x:c>
      <x:c r="B6" s="1" t="s">
        <x:v>2304</x:v>
      </x:c>
      <x:c r="C6" s="22" t="s">
        <x:v>2260</x:v>
      </x:c>
      <x:c r="D6" s="1" t="s">
        <x:v>2261</x:v>
      </x:c>
      <x:c r="E6" s="1" t="s">
        <x:v>2300</x:v>
      </x:c>
      <x:c r="F6" s="1">
        <x:v>1</x:v>
      </x:c>
    </x:row>
    <x:row r="7" ht="33.29999923706055" customHeight="1">
      <x:c r="A7" s="5" t="s">
        <x:v>2244</x:v>
      </x:c>
      <x:c r="B7" s="3" t="s">
        <x:v>2305</x:v>
      </x:c>
      <x:c r="C7" s="23" t="s">
        <x:v>2245</x:v>
      </x:c>
      <x:c r="D7" s="3" t="s">
        <x:v>2246</x:v>
      </x:c>
      <x:c r="E7" s="3" t="s">
        <x:v>2300</x:v>
      </x:c>
      <x:c r="F7" s="3">
        <x:v>1</x:v>
      </x:c>
    </x:row>
    <x:row r="8" ht="33.29999923706055" customHeight="1">
      <x:c r="A8" s="4" t="s">
        <x:v>2238</x:v>
      </x:c>
      <x:c r="B8" s="1" t="s">
        <x:v>2306</x:v>
      </x:c>
      <x:c r="C8" s="22" t="s">
        <x:v>724</x:v>
      </x:c>
      <x:c r="D8" s="1" t="s">
        <x:v>2239</x:v>
      </x:c>
      <x:c r="E8" s="1" t="s">
        <x:v>2300</x:v>
      </x:c>
      <x:c r="F8" s="1">
        <x:v>2</x:v>
      </x:c>
    </x:row>
    <x:row r="9" ht="46.599998474121094" customHeight="1">
      <x:c r="A9" s="5" t="s">
        <x:v>1398</x:v>
      </x:c>
      <x:c r="B9" s="3" t="s">
        <x:v>2307</x:v>
      </x:c>
      <x:c r="C9" s="23" t="s">
        <x:v>306</x:v>
      </x:c>
      <x:c r="D9" s="3" t="s">
        <x:v>1940</x:v>
      </x:c>
      <x:c r="E9" s="3" t="s">
        <x:v>2300</x:v>
      </x:c>
      <x:c r="F9" s="3">
        <x:v>5</x:v>
      </x:c>
    </x:row>
    <x:row r="10" ht="46.599998474121094" customHeight="1">
      <x:c r="A10" s="4" t="s">
        <x:v>2218</x:v>
      </x:c>
      <x:c r="B10" s="1" t="s">
        <x:v>2308</x:v>
      </x:c>
      <x:c r="C10" s="22" t="s">
        <x:v>222</x:v>
      </x:c>
      <x:c r="D10" s="1" t="s">
        <x:v>2219</x:v>
      </x:c>
      <x:c r="E10" s="1" t="s">
        <x:v>2300</x:v>
      </x:c>
      <x:c r="F10" s="1">
        <x:v>3</x:v>
      </x:c>
    </x:row>
    <x:row r="11" ht="33.29999923706055" customHeight="1">
      <x:c r="A11" s="5" t="s">
        <x:v>918</x:v>
      </x:c>
      <x:c r="B11" s="3" t="s">
        <x:v>2309</x:v>
      </x:c>
      <x:c r="C11" s="23" t="s">
        <x:v>920</x:v>
      </x:c>
      <x:c r="D11" s="3" t="s">
        <x:v>1804</x:v>
      </x:c>
      <x:c r="E11" s="3" t="s">
        <x:v>2300</x:v>
      </x:c>
      <x:c r="F11" s="3">
        <x:v>4</x:v>
      </x:c>
    </x:row>
    <x:row r="12" ht="46.599998474121094" customHeight="1">
      <x:c r="A12" s="4" t="s">
        <x:v>1416</x:v>
      </x:c>
      <x:c r="B12" s="1" t="s">
        <x:v>2310</x:v>
      </x:c>
      <x:c r="C12" s="22" t="s">
        <x:v>1417</x:v>
      </x:c>
      <x:c r="D12" s="1" t="s">
        <x:v>2141</x:v>
      </x:c>
      <x:c r="E12" s="1" t="s">
        <x:v>2300</x:v>
      </x:c>
      <x:c r="F12" s="1">
        <x:v>4</x:v>
      </x:c>
    </x:row>
    <x:row r="13" ht="46.599998474121094" customHeight="1">
      <x:c r="A13" s="5" t="s">
        <x:v>1209</x:v>
      </x:c>
      <x:c r="B13" s="3" t="s">
        <x:v>2311</x:v>
      </x:c>
      <x:c r="C13" s="23" t="s">
        <x:v>1210</x:v>
      </x:c>
      <x:c r="D13" s="3" t="s">
        <x:v>1971</x:v>
      </x:c>
      <x:c r="E13" s="3" t="s">
        <x:v>2300</x:v>
      </x:c>
      <x:c r="F13" s="3">
        <x:v>6</x:v>
      </x:c>
    </x:row>
    <x:row r="14" ht="33.29999923706055" customHeight="1">
      <x:c r="A14" s="4" t="s">
        <x:v>1124</x:v>
      </x:c>
      <x:c r="B14" s="1" t="s">
        <x:v>2312</x:v>
      </x:c>
      <x:c r="C14" s="22" t="s">
        <x:v>1126</x:v>
      </x:c>
      <x:c r="D14" s="1" t="s">
        <x:v>1922</x:v>
      </x:c>
      <x:c r="E14" s="1" t="s">
        <x:v>2300</x:v>
      </x:c>
      <x:c r="F14" s="1">
        <x:v>4</x:v>
      </x:c>
    </x:row>
    <x:row r="15" ht="46.599998474121094" customHeight="1">
      <x:c r="A15" s="5" t="s">
        <x:v>2262</x:v>
      </x:c>
      <x:c r="B15" s="3" t="s">
        <x:v>2313</x:v>
      </x:c>
      <x:c r="C15" s="23" t="s">
        <x:v>2263</x:v>
      </x:c>
      <x:c r="D15" s="3" t="s">
        <x:v>2264</x:v>
      </x:c>
      <x:c r="E15" s="3" t="s">
        <x:v>2300</x:v>
      </x:c>
      <x:c r="F15" s="3">
        <x:v>2</x:v>
      </x:c>
    </x:row>
    <x:row r="16" ht="46.599998474121094" customHeight="1">
      <x:c r="A16" s="4" t="s">
        <x:v>2209</x:v>
      </x:c>
      <x:c r="B16" s="1" t="s">
        <x:v>2314</x:v>
      </x:c>
      <x:c r="C16" s="22" t="s">
        <x:v>2210</x:v>
      </x:c>
      <x:c r="D16" s="1" t="s">
        <x:v>2211</x:v>
      </x:c>
      <x:c r="E16" s="1" t="s">
        <x:v>2300</x:v>
      </x:c>
      <x:c r="F16" s="1">
        <x:v>1</x:v>
      </x:c>
    </x:row>
    <x:row r="17" ht="33.29999923706055" customHeight="1">
      <x:c r="A17" s="5" t="s">
        <x:v>944</x:v>
      </x:c>
      <x:c r="B17" s="3" t="s">
        <x:v>2315</x:v>
      </x:c>
      <x:c r="C17" s="23" t="s">
        <x:v>946</x:v>
      </x:c>
      <x:c r="D17" s="3" t="s">
        <x:v>1815</x:v>
      </x:c>
      <x:c r="E17" s="3" t="s">
        <x:v>2300</x:v>
      </x:c>
      <x:c r="F17" s="3">
        <x:v>9</x:v>
      </x:c>
    </x:row>
    <x:row r="18" ht="46.599998474121094" customHeight="1">
      <x:c r="A18" s="4" t="s">
        <x:v>1347</x:v>
      </x:c>
      <x:c r="B18" s="1" t="s">
        <x:v>2316</x:v>
      </x:c>
      <x:c r="C18" s="22" t="s">
        <x:v>1348</x:v>
      </x:c>
      <x:c r="D18" s="1" t="s">
        <x:v>2088</x:v>
      </x:c>
      <x:c r="E18" s="1" t="s">
        <x:v>2300</x:v>
      </x:c>
      <x:c r="F18" s="1">
        <x:v>4</x:v>
      </x:c>
    </x:row>
    <x:row r="19" ht="33.29999923706055" customHeight="1">
      <x:c r="A19" s="5" t="s">
        <x:v>2252</x:v>
      </x:c>
      <x:c r="B19" s="3" t="s">
        <x:v>2317</x:v>
      </x:c>
      <x:c r="C19" s="23" t="s">
        <x:v>2253</x:v>
      </x:c>
      <x:c r="D19" s="3" t="s">
        <x:v>2254</x:v>
      </x:c>
      <x:c r="E19" s="3" t="s">
        <x:v>2300</x:v>
      </x:c>
      <x:c r="F19" s="3">
        <x:v>1</x:v>
      </x:c>
    </x:row>
    <x:row r="20" ht="33.29999923706055" customHeight="1">
      <x:c r="A20" s="4" t="s">
        <x:v>2248</x:v>
      </x:c>
      <x:c r="B20" s="1" t="s">
        <x:v>2318</x:v>
      </x:c>
      <x:c r="C20" s="22" t="s">
        <x:v>2249</x:v>
      </x:c>
      <x:c r="D20" s="1" t="s">
        <x:v>2250</x:v>
      </x:c>
      <x:c r="E20" s="1" t="s">
        <x:v>2300</x:v>
      </x:c>
      <x:c r="F20" s="1">
        <x:v>1</x:v>
      </x:c>
    </x:row>
    <x:row r="21" ht="33.29999923706055" customHeight="1">
      <x:c r="A21" s="5" t="s">
        <x:v>1180</x:v>
      </x:c>
      <x:c r="B21" s="3" t="s">
        <x:v>2319</x:v>
      </x:c>
      <x:c r="C21" s="23" t="s">
        <x:v>860</x:v>
      </x:c>
      <x:c r="D21" s="3" t="s">
        <x:v>1960</x:v>
      </x:c>
      <x:c r="E21" s="3" t="s">
        <x:v>2300</x:v>
      </x:c>
      <x:c r="F21" s="3">
        <x:v>3</x:v>
      </x:c>
    </x:row>
    <x:row r="22" ht="33.29999923706055" customHeight="1">
      <x:c r="A22" s="4" t="s">
        <x:v>2206</x:v>
      </x:c>
      <x:c r="B22" s="1" t="s">
        <x:v>2320</x:v>
      </x:c>
      <x:c r="C22" s="22" t="s">
        <x:v>2207</x:v>
      </x:c>
      <x:c r="D22" s="1" t="s">
        <x:v>2208</x:v>
      </x:c>
      <x:c r="E22" s="1" t="s">
        <x:v>2300</x:v>
      </x:c>
      <x:c r="F22" s="1">
        <x:v>3</x:v>
      </x:c>
    </x:row>
    <x:row r="23" ht="46.599998474121094" customHeight="1">
      <x:c r="A23" s="5" t="s">
        <x:v>1155</x:v>
      </x:c>
      <x:c r="B23" s="3" t="s">
        <x:v>2321</x:v>
      </x:c>
      <x:c r="C23" s="23" t="s">
        <x:v>320</x:v>
      </x:c>
      <x:c r="D23" s="3" t="s">
        <x:v>1944</x:v>
      </x:c>
      <x:c r="E23" s="3" t="s">
        <x:v>2300</x:v>
      </x:c>
      <x:c r="F23" s="3">
        <x:v>4</x:v>
      </x:c>
    </x:row>
    <x:row r="24" ht="33.29999923706055" customHeight="1">
      <x:c r="A24" s="4" t="s">
        <x:v>1052</x:v>
      </x:c>
      <x:c r="B24" s="1" t="s">
        <x:v>2322</x:v>
      </x:c>
      <x:c r="C24" s="22" t="s">
        <x:v>1054</x:v>
      </x:c>
      <x:c r="D24" s="1" t="s">
        <x:v>1881</x:v>
      </x:c>
      <x:c r="E24" s="1" t="s">
        <x:v>2300</x:v>
      </x:c>
      <x:c r="F24" s="1">
        <x:v>1</x:v>
      </x:c>
    </x:row>
    <x:row r="25" ht="46.599998474121094" customHeight="1">
      <x:c r="A25" s="5" t="s">
        <x:v>2212</x:v>
      </x:c>
      <x:c r="B25" s="3" t="s">
        <x:v>2323</x:v>
      </x:c>
      <x:c r="C25" s="23" t="s">
        <x:v>2213</x:v>
      </x:c>
      <x:c r="D25" s="3" t="s">
        <x:v>2214</x:v>
      </x:c>
      <x:c r="E25" s="3" t="s">
        <x:v>2300</x:v>
      </x:c>
      <x:c r="F25" s="3">
        <x:v>2</x:v>
      </x:c>
    </x:row>
    <x:row r="26" ht="46.599998474121094" customHeight="1">
      <x:c r="A26" s="4" t="s">
        <x:v>1028</x:v>
      </x:c>
      <x:c r="B26" s="1" t="s">
        <x:v>2324</x:v>
      </x:c>
      <x:c r="C26" s="22" t="s">
        <x:v>1008</x:v>
      </x:c>
      <x:c r="D26" s="1" t="s">
        <x:v>1854</x:v>
      </x:c>
      <x:c r="E26" s="1" t="s">
        <x:v>2300</x:v>
      </x:c>
      <x:c r="F26" s="1">
        <x:v>8</x:v>
      </x:c>
    </x:row>
    <x:row r="27" ht="33.29999923706055" customHeight="1">
      <x:c r="A27" s="5" t="s">
        <x:v>1387</x:v>
      </x:c>
      <x:c r="B27" s="3" t="s">
        <x:v>2325</x:v>
      </x:c>
      <x:c r="C27" s="23" t="s">
        <x:v>1388</x:v>
      </x:c>
      <x:c r="D27" s="3" t="s">
        <x:v>2119</x:v>
      </x:c>
      <x:c r="E27" s="3" t="s">
        <x:v>2300</x:v>
      </x:c>
      <x:c r="F27" s="3">
        <x:v>2</x:v>
      </x:c>
    </x:row>
    <x:row r="28" ht="33.29999923706055" customHeight="1">
      <x:c r="A28" s="4" t="s">
        <x:v>1130</x:v>
      </x:c>
      <x:c r="B28" s="1" t="s">
        <x:v>2326</x:v>
      </x:c>
      <x:c r="C28" s="22" t="s">
        <x:v>266</x:v>
      </x:c>
      <x:c r="D28" s="1" t="s">
        <x:v>1926</x:v>
      </x:c>
      <x:c r="E28" s="1" t="s">
        <x:v>2300</x:v>
      </x:c>
      <x:c r="F28" s="1">
        <x:v>6</x:v>
      </x:c>
    </x:row>
    <x:row r="29" ht="33.29999923706055" customHeight="1">
      <x:c r="A29" s="5" t="s">
        <x:v>1141</x:v>
      </x:c>
      <x:c r="B29" s="3" t="s">
        <x:v>2327</x:v>
      </x:c>
      <x:c r="C29" s="23" t="s">
        <x:v>280</x:v>
      </x:c>
      <x:c r="D29" s="3" t="s">
        <x:v>1933</x:v>
      </x:c>
      <x:c r="E29" s="3" t="s">
        <x:v>2300</x:v>
      </x:c>
      <x:c r="F29" s="3">
        <x:v>3</x:v>
      </x:c>
    </x:row>
    <x:row r="30" ht="33.29999923706055" customHeight="1">
      <x:c r="A30" s="4" t="s">
        <x:v>929</x:v>
      </x:c>
      <x:c r="B30" s="1" t="s">
        <x:v>2328</x:v>
      </x:c>
      <x:c r="C30" s="22" t="s">
        <x:v>931</x:v>
      </x:c>
      <x:c r="D30" s="1" t="s">
        <x:v>1808</x:v>
      </x:c>
      <x:c r="E30" s="1" t="s">
        <x:v>2300</x:v>
      </x:c>
      <x:c r="F30" s="1">
        <x:v>3</x:v>
      </x:c>
    </x:row>
    <x:row r="31" ht="46.599998474121094" customHeight="1">
      <x:c r="A31" s="5" t="s">
        <x:v>2201</x:v>
      </x:c>
      <x:c r="B31" s="3" t="s">
        <x:v>2329</x:v>
      </x:c>
      <x:c r="C31" s="23" t="s">
        <x:v>2202</x:v>
      </x:c>
      <x:c r="D31" s="3" t="s">
        <x:v>2203</x:v>
      </x:c>
      <x:c r="E31" s="3" t="s">
        <x:v>2300</x:v>
      </x:c>
      <x:c r="F31" s="3">
        <x:v>1</x:v>
      </x:c>
    </x:row>
    <x:row r="32" ht="46.599998474121094" customHeight="1">
      <x:c r="A32" s="4" t="s">
        <x:v>1014</x:v>
      </x:c>
      <x:c r="B32" s="1" t="s">
        <x:v>2330</x:v>
      </x:c>
      <x:c r="C32" s="22" t="s">
        <x:v>1016</x:v>
      </x:c>
      <x:c r="D32" s="1" t="s">
        <x:v>1858</x:v>
      </x:c>
      <x:c r="E32" s="1" t="s">
        <x:v>2300</x:v>
      </x:c>
      <x:c r="F32" s="1">
        <x:v>1</x:v>
      </x:c>
    </x:row>
    <x:row r="33" ht="46.599998474121094" customHeight="1">
      <x:c r="A33" s="5" t="s">
        <x:v>2256</x:v>
      </x:c>
      <x:c r="B33" s="3" t="s">
        <x:v>2331</x:v>
      </x:c>
      <x:c r="C33" s="23" t="s">
        <x:v>2257</x:v>
      </x:c>
      <x:c r="D33" s="3" t="s">
        <x:v>2258</x:v>
      </x:c>
      <x:c r="E33" s="3" t="s">
        <x:v>2300</x:v>
      </x:c>
      <x:c r="F33" s="3">
        <x:v>1</x:v>
      </x:c>
    </x:row>
    <x:row r="34" ht="46.599998474121094" customHeight="1">
      <x:c r="A34" s="4" t="s">
        <x:v>2234</x:v>
      </x:c>
      <x:c r="B34" s="1" t="s">
        <x:v>2332</x:v>
      </x:c>
      <x:c r="C34" s="22" t="s">
        <x:v>439</x:v>
      </x:c>
      <x:c r="D34" s="1" t="s">
        <x:v>2235</x:v>
      </x:c>
      <x:c r="E34" s="1" t="s">
        <x:v>2300</x:v>
      </x:c>
      <x:c r="F34" s="1">
        <x:v>1</x:v>
      </x:c>
    </x:row>
    <x:row r="35" ht="33.29999923706055" customHeight="1">
      <x:c r="A35" s="5" t="s">
        <x:v>1277</x:v>
      </x:c>
      <x:c r="B35" s="3" t="s">
        <x:v>2333</x:v>
      </x:c>
      <x:c r="C35" s="23" t="s">
        <x:v>970</x:v>
      </x:c>
      <x:c r="D35" s="3" t="s">
        <x:v>1828</x:v>
      </x:c>
      <x:c r="E35" s="3" t="s">
        <x:v>2300</x:v>
      </x:c>
      <x:c r="F35" s="3">
        <x:v>5</x:v>
      </x:c>
    </x:row>
    <x:row r="36" ht="46.599998474121094" customHeight="1">
      <x:c r="A36" s="4" t="s">
        <x:v>2240</x:v>
      </x:c>
      <x:c r="B36" s="1" t="s">
        <x:v>2334</x:v>
      </x:c>
      <x:c r="C36" s="22" t="s">
        <x:v>733</x:v>
      </x:c>
      <x:c r="D36" s="1" t="s">
        <x:v>2241</x:v>
      </x:c>
      <x:c r="E36" s="1" t="s">
        <x:v>2300</x:v>
      </x:c>
      <x:c r="F36" s="1">
        <x:v>4</x:v>
      </x:c>
    </x:row>
    <x:row r="37" ht="33.29999923706055" customHeight="1">
      <x:c r="A37" s="5" t="s">
        <x:v>1084</x:v>
      </x:c>
      <x:c r="B37" s="3" t="s">
        <x:v>2335</x:v>
      </x:c>
      <x:c r="C37" s="23" t="s">
        <x:v>191</x:v>
      </x:c>
      <x:c r="D37" s="3" t="s">
        <x:v>1899</x:v>
      </x:c>
      <x:c r="E37" s="3" t="s">
        <x:v>2300</x:v>
      </x:c>
      <x:c r="F37" s="3">
        <x:v>5</x:v>
      </x:c>
    </x:row>
    <x:row r="38" ht="33.29999923706055" customHeight="1">
      <x:c r="A38" s="4" t="s">
        <x:v>975</x:v>
      </x:c>
      <x:c r="B38" s="1" t="s">
        <x:v>2336</x:v>
      </x:c>
      <x:c r="C38" s="22" t="s">
        <x:v>977</x:v>
      </x:c>
      <x:c r="D38" s="1" t="s">
        <x:v>1832</x:v>
      </x:c>
      <x:c r="E38" s="1" t="s">
        <x:v>2300</x:v>
      </x:c>
      <x:c r="F38" s="1">
        <x:v>15</x:v>
      </x:c>
    </x:row>
    <x:row r="39" ht="46.599998474121094" customHeight="1">
      <x:c r="A39" s="5" t="s">
        <x:v>2220</x:v>
      </x:c>
      <x:c r="B39" s="3" t="s">
        <x:v>2337</x:v>
      </x:c>
      <x:c r="C39" s="23" t="s">
        <x:v>236</x:v>
      </x:c>
      <x:c r="D39" s="3" t="s">
        <x:v>2221</x:v>
      </x:c>
      <x:c r="E39" s="3" t="s">
        <x:v>2300</x:v>
      </x:c>
      <x:c r="F39" s="3">
        <x:v>1</x:v>
      </x:c>
    </x:row>
    <x:row r="40" ht="46.599998474121094" customHeight="1">
      <x:c r="A40" s="4" t="s">
        <x:v>2197</x:v>
      </x:c>
      <x:c r="B40" s="1" t="s">
        <x:v>2338</x:v>
      </x:c>
      <x:c r="C40" s="22" t="s">
        <x:v>2198</x:v>
      </x:c>
      <x:c r="D40" s="1" t="s">
        <x:v>2199</x:v>
      </x:c>
      <x:c r="E40" s="1" t="s">
        <x:v>2300</x:v>
      </x:c>
      <x:c r="F40" s="1">
        <x:v>3</x:v>
      </x:c>
    </x:row>
    <x:row r="41" ht="46.599998474121094" customHeight="1">
      <x:c r="A41" s="5" t="s">
        <x:v>1302</x:v>
      </x:c>
      <x:c r="B41" s="3" t="s">
        <x:v>2339</x:v>
      </x:c>
      <x:c r="C41" s="23" t="s">
        <x:v>1303</x:v>
      </x:c>
      <x:c r="D41" s="3" t="s">
        <x:v>2054</x:v>
      </x:c>
      <x:c r="E41" s="3" t="s">
        <x:v>2300</x:v>
      </x:c>
      <x:c r="F41" s="3">
        <x:v>8</x:v>
      </x:c>
    </x:row>
    <x:row r="42" ht="46.599998474121094" customHeight="1">
      <x:c r="A42" s="4" t="s">
        <x:v>2268</x:v>
      </x:c>
      <x:c r="B42" s="1" t="s">
        <x:v>2340</x:v>
      </x:c>
      <x:c r="C42" s="22" t="s">
        <x:v>2269</x:v>
      </x:c>
      <x:c r="D42" s="1" t="s">
        <x:v>2270</x:v>
      </x:c>
      <x:c r="E42" s="1" t="s">
        <x:v>2300</x:v>
      </x:c>
      <x:c r="F42" s="1">
        <x:v>1</x:v>
      </x:c>
    </x:row>
    <x:row r="43" ht="33.29999923706055" customHeight="1">
      <x:c r="A43" s="5" t="s">
        <x:v>2255</x:v>
      </x:c>
      <x:c r="B43" s="3" t="s">
        <x:v>2341</x:v>
      </x:c>
      <x:c r="C43" s="23" t="s">
        <x:v>1070</x:v>
      </x:c>
      <x:c r="D43" s="3" t="s">
        <x:v>1889</x:v>
      </x:c>
      <x:c r="E43" s="3" t="s">
        <x:v>2300</x:v>
      </x:c>
      <x:c r="F43" s="3">
        <x:v>3</x:v>
      </x:c>
    </x:row>
    <x:row r="44" ht="46.599998474121094" customHeight="1">
      <x:c r="A44" s="4" t="s">
        <x:v>2231</x:v>
      </x:c>
      <x:c r="B44" s="1" t="s">
        <x:v>2342</x:v>
      </x:c>
      <x:c r="C44" s="22" t="s">
        <x:v>2232</x:v>
      </x:c>
      <x:c r="D44" s="1" t="s">
        <x:v>2233</x:v>
      </x:c>
      <x:c r="E44" s="1" t="s">
        <x:v>2300</x:v>
      </x:c>
      <x:c r="F44" s="1">
        <x:v>3</x:v>
      </x:c>
    </x:row>
    <x:row r="45" ht="33.29999923706055" customHeight="1">
      <x:c r="A45" s="5" t="s">
        <x:v>1041</x:v>
      </x:c>
      <x:c r="B45" s="3" t="s">
        <x:v>2343</x:v>
      </x:c>
      <x:c r="C45" s="23" t="s">
        <x:v>177</x:v>
      </x:c>
      <x:c r="D45" s="3" t="s">
        <x:v>1874</x:v>
      </x:c>
      <x:c r="E45" s="3" t="s">
        <x:v>2300</x:v>
      </x:c>
      <x:c r="F45" s="3">
        <x:v>6</x:v>
      </x:c>
    </x:row>
    <x:row r="46" ht="46.599998474121094" customHeight="1">
      <x:c r="A46" s="4" t="s">
        <x:v>1094</x:v>
      </x:c>
      <x:c r="B46" s="1" t="s">
        <x:v>2344</x:v>
      </x:c>
      <x:c r="C46" s="22" t="s">
        <x:v>207</x:v>
      </x:c>
      <x:c r="D46" s="1" t="s">
        <x:v>1906</x:v>
      </x:c>
      <x:c r="E46" s="1" t="s">
        <x:v>2300</x:v>
      </x:c>
      <x:c r="F46" s="1">
        <x:v>5</x:v>
      </x:c>
    </x:row>
    <x:row r="47" ht="46.599998474121094" customHeight="1">
      <x:c r="A47" s="5" t="s">
        <x:v>2215</x:v>
      </x:c>
      <x:c r="B47" s="3" t="s">
        <x:v>2345</x:v>
      </x:c>
      <x:c r="C47" s="23" t="s">
        <x:v>2216</x:v>
      </x:c>
      <x:c r="D47" s="3" t="s">
        <x:v>2217</x:v>
      </x:c>
      <x:c r="E47" s="3" t="s">
        <x:v>2300</x:v>
      </x:c>
      <x:c r="F47" s="3">
        <x:v>2</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32" hidden="0" customWidth="1"/>
    <x:col min="3" max="3" width="18" hidden="0" customWidth="1"/>
    <x:col min="4" max="4" width="40" hidden="0" customWidth="1"/>
    <x:col min="5" max="5" width="46" hidden="0" customWidth="1"/>
    <x:col min="6" max="6" width="20" hidden="0" customWidth="1"/>
    <x:col min="7" max="7" width="18" hidden="0" customWidth="1"/>
    <x:col min="8" max="8" width="16" hidden="0" customWidth="1"/>
    <x:col min="9" max="9" width="60" hidden="0" customWidth="1"/>
    <x:col min="10" max="10" width="26" hidden="0" customWidth="1"/>
  </x:cols>
  <x:sheetData>
    <x:row r="1" ht="26" customHeight="1">
      <x:c r="A1" s="60" t="str">
        <x:v>shell_name</x:v>
      </x:c>
      <x:c r="B1" s="60" t="str">
        <x:v>organism</x:v>
      </x:c>
      <x:c r="C1" s="60" t="str">
        <x:v>candidate_id</x:v>
      </x:c>
      <x:c r="D1" s="60" t="str">
        <x:v>assembly_id</x:v>
      </x:c>
      <x:c r="E1" s="60" t="str">
        <x:v>sequence_id</x:v>
      </x:c>
      <x:c r="F1" s="60" t="str">
        <x:v>protein_length_aa</x:v>
      </x:c>
      <x:c r="G1" s="60" t="str">
        <x:v>cds_length_nt</x:v>
      </x:c>
      <x:c r="H1" s="60" t="str">
        <x:v>translation_qc</x:v>
      </x:c>
      <x:c r="I1" s="60" t="str">
        <x:v>coding_DNA_5to3</x:v>
      </x:c>
      <x:c r="J1" s="60" t="str">
        <x:v>protein_variant_id</x:v>
      </x:c>
    </x:row>
    <x:row r="2">
      <x:c r="A2" t="str">
        <x:v>AaEnc shell</x:v>
      </x:c>
      <x:c r="B2" t="str">
        <x:v>Acidipropionibacterium acidipropionici</x:v>
      </x:c>
      <x:c r="C2" t="str">
        <x:v>K7RV67</x:v>
      </x:c>
      <x:c r="D2" t="str">
        <x:v>K7RV67_ref</x:v>
      </x:c>
      <x:c r="E2" t="str">
        <x:v>BLD_K7RV67_ref_builder_design</x:v>
      </x:c>
      <x:c r="F2" t="n">
        <x:v>264</x:v>
      </x:c>
      <x:c r="G2" t="n">
        <x:v>795</x:v>
      </x:c>
      <x:c r="H2" t="str">
        <x:v>PASS</x:v>
      </x:c>
      <x:c r="I2" s="63" t="str">
        <x:v>ATGAACAACCTGCACCGTGAACTCGCCCCGATATCCGAGGCGGCCTGGAAGCAGATCGACGACGAGGCCCGCGACACCTTCTCGCTGCGGGCCGCCGGGCGTCGCGTCGTCGACGTCCCCGAGCCCGCCGGCCCGACCCTGGGCTCGGTGAGCCTGGGCCATCTCGAGACCGGCTCGCAGACCGACGGCGTCCAGACCAGCGTGTACCGCGTCCAGCCGCTCGTTCAGGTCCGCGTGCCGTTCACCGTCTCGCGCGCCGATATCGACGACGTCGAGCGCGGGGCCGTCGATCTCACCTGGGACCCTGTCGACGACGCCGTCGCCAAGCTGGTCGACACCGAGGACACCGCGATCCTGCACGGCTGGGAGGAGGCCGGGATCACCGGGCTCAGCGAGGCGTCGGTGCACCAGCCCGTCCAGATGCCCGCCGAGCTCGAGCAGATCGACGACGCCGTCTCCGGCGCCTGCAATGTCCTGCGGCTGGCCGACGTCGAGGGGCCCTACGACCTGGTGCTGCCCCAACAGCTCTACACGCAGGTCTCGGAGACCACCGACCACGGCGTCCCGGTCGTCGATCACCTCACCCAGCTGCTGTCGGGCGGCGAGGTGCTGTGGGCGCCGGCCGCCCGGTGCGCGCTGGTGGTCTCGAGGCGGGGCGGGGACTCGTGCCTCTTCCTGGGCCGCGACGTCTCGATCGGCTACCTGTCCCATGACGCGCAGACCGTCACCCTGTATCTCGAGGAGTCCTTCACCTTCCGGGTCCACCAGCCCGACGCCGCGGTGGCGCTGGTCTGA</x:v>
      </x:c>
      <x:c r="J2" t="str">
        <x:v>PV_K7RV67_125ad1f0f617</x:v>
      </x:c>
    </x:row>
    <x:row r="3">
      <x:c r="A3" t="str">
        <x:v>BmEnc shell</x:v>
      </x:c>
      <x:c r="B3" t="str">
        <x:v>Bacillus methanolicus</x:v>
      </x:c>
      <x:c r="C3" t="str">
        <x:v>I3E3I1</x:v>
      </x:c>
      <x:c r="D3" t="str">
        <x:v>I3E3I1_ref</x:v>
      </x:c>
      <x:c r="E3" t="str">
        <x:v>BLD_I3E3I1_ref_builder_design</x:v>
      </x:c>
      <x:c r="F3" t="n">
        <x:v>282</x:v>
      </x:c>
      <x:c r="G3" t="n">
        <x:v>849</x:v>
      </x:c>
      <x:c r="H3" t="str">
        <x:v>PASS</x:v>
      </x:c>
      <x:c r="I3" s="63" t="str">
        <x:v>ATGGGCAAGACTCAACTATTTCCAGATTCACCATTAACAGATCAAGATTTCTCACAATTAGATCAAACAGTCATTGACACTGCACGTAGACAATTGATTGGACGCCGTTTTATCGAATTGTACGGTCCGCTTGGAAGAGGAATACAGAGTATTTTTAATGACGTATTTATTGAAAACTATGAAGCAAAAATGGATTTTCAAGGATCATTTGATACAGACATCGAGACTAGTAAACGGGTAAATTACACAATCCCATTACTTTACAAAGATTTCGTTCTATATTGGCGTGATTTAGAACAGGCAAAAGTTTTAGATATCCCTATTGATTTTTCCGCAGCAGCAAACGCTGCCCGTGATGTGGCAATATTAGAGGACCAGATGATTTTTTACGGATCAAAGGAATTTGATATTCCCGGTTTAATGAATGTAAAAGGCCGATCAACACACTTGATAGGAAATTGGTACGAATCAGGAAACGCTTTTCAAGATGTAGTGGAAGCAAGAAACAAATTACTTGAGATGAAACATAATGGGCCGTTTGCTCTTGTTTTATCACCAGAGTTATATTCATTGTTGCACCGTGTACATAAAGATACGAACGTTTTAGAAATTGAGCATGTTCGTGAGCTTGTTACAGATGGGGTGTTCCAAACCCCGGTTCTAAAAGGAAAAACGGGAGTCCTCGTCAATACAGGGCGAAATAATCTGGATCTTGCTGTTTCAGAGGATTTTGATACAGCATATTTGGGAGAAGAAGGAATGAACCATCCTTTCCGTGTGTATGAAACGGTTGTTTTACGGATTAAACGCCCTTCTGCCATATGTACATTAGAAGACGGGGGAGAGTAA</x:v>
      </x:c>
      <x:c r="J3" t="str">
        <x:v>PV_I3E3I1_3a9076c84662</x:v>
      </x:c>
    </x:row>
    <x:row r="4">
      <x:c r="A4" t="str">
        <x:v>Glass9 (9-residue deletion)</x:v>
      </x:c>
      <x:c r="B4" t="str">
        <x:v>Bacillus thermotolerans</x:v>
      </x:c>
      <x:c r="C4" t="str">
        <x:v>A0A0F5HPP7</x:v>
      </x:c>
      <x:c r="D4" t="str">
        <x:v>A0A0F5HPP7_Glass9_T4</x:v>
      </x:c>
      <x:c r="E4" t="str">
        <x:v>BLD_A0A0F5HPP7_Glass9_T4_builder_design</x:v>
      </x:c>
      <x:c r="F4" t="n">
        <x:v>273</x:v>
      </x:c>
      <x:c r="G4" t="n">
        <x:v>822</x:v>
      </x:c>
      <x:c r="H4" t="str">
        <x:v>PASS</x:v>
      </x:c>
      <x:c r="I4" s="63" t="str">
        <x:v>ATGAATAAATCGCAGCTTTATCCAGATTCTCCATTAACAGACCAGGATTTCAACCAGCTTGATCAGACCGTCATTGAAGCAGCCCGCCGTCAGTTAGTCGGCCGCCGCTTTATCGAGTTATATGGACCGCTTGGAAGAGGAATGCAAAGTGTATTTAATGATATCTTTATGGAGAGCCATGAAGCAAAAATGGACTTTCAAGGCTCTTTTGATACGGAAGTAGAATCCAGCAGACGCGTCAACTATACTATTCCTATGCTTTACAAGGATTTTGTACTGTATTGGCGCGACTTGGAGCAGTCTAAAGCACTAGACATACCGATTGACTTTTCCGTTGCTGCCAATGCAGCTCGTGATGTGGCTTTTCTAGAGGATCAGATGATTTTTCACGGTTCCAAGGAATTCGATATTCCTGGATTAATGAATGTCAAAGGCCGCTTGACTCATTTAATTGGCAATTGGTACGAGTCTGGAAACGCCTTTCAAGACATCGTTGAAGCAAGAAACAAATTACTTGAAATGAACCATAACGGCCCCTATGCACTTGTATTATCCCCAGAGCTGTACTCTCTTCTACACCGTGGTTCTGGTGGTTCTGGTCTGATTACAGCCGGTGTGTTCCAGTCACCTGTACTGAAAGGAAAGTCTGGGGTGATCGTCAATACAGGGCGCAACAACCTTGATTTAGCTATTTCAGAAGATTTTGAAACAGCTTATCTAGGAGAAGAAGGAATGAACCACCCCTTCCGAGTGTATGAAACTGTCGTCCTTCGAATTAAACGCCCAGCGGCTATTTGCACGCTGATTGATCCGGAAGAATAA</x:v>
      </x:c>
      <x:c r="J4" t="str">
        <x:v>PV_A0A0F5HPP7_0e638d1315da</x:v>
      </x:c>
    </x:row>
    <x:row r="5">
      <x:c r="A5" t="str">
        <x:v>Letter11 (11-residue deletion)</x:v>
      </x:c>
      <x:c r="B5" t="str">
        <x:v>Bacillus thermotolerans</x:v>
      </x:c>
      <x:c r="C5" t="str">
        <x:v>A0A0F5HPP7</x:v>
      </x:c>
      <x:c r="D5" t="str">
        <x:v>A0A0F5HPP7_Letter11_T4</x:v>
      </x:c>
      <x:c r="E5" t="str">
        <x:v>BLD_A0A0F5HPP7_Letter11_T4_builder_design</x:v>
      </x:c>
      <x:c r="F5" t="n">
        <x:v>271</x:v>
      </x:c>
      <x:c r="G5" t="n">
        <x:v>816</x:v>
      </x:c>
      <x:c r="H5" t="str">
        <x:v>PASS</x:v>
      </x:c>
      <x:c r="I5" s="63" t="str">
        <x:v>ATGAATAAATCGCAGCTTTATCCAGATTCTCCATTAACAGACCAGGATTTCAACCAGCTTGATCAGACCGTCATTGAAGCAGCCCGCCGTCAGTTAGTCGGCCGCCGCTTTATCGAGTTATATGGACCGCTTGGAAGAGGAATGCAAAGTGTATTTAATGATATCTTTATGGAGAGCCATGAAGCAAAAATGGACTTTCAAGGCTCTTTTGATACGGAAGTAGAATCCAGCAGACGCGTCAACTATACTATTCCTATGCTTTACAAGGATTTTGTACTGTATTGGCGCGACTTGGAGCAGTCTAAAGCACTAGACATACCGATTGACTTTTCCGTTGCTGCCAATGCAGCTCGTGATGTGGCTTTTCTAGAGGATCAGATGATTTTTCACGGTTCCAAGGAATTCGATATTCCTGGATTAATGAATGTCAAAGGCCGCTTGACTCATTTAATTGGCAATTGGTACGAGTCTGGAAACGCCTTTCAAGACATCGTTGAAGCAAGAAACAAATTACTTGAAATGAACCATAACGGCCCCTATGCACTTGTATTATCCCCAGAGCTGTACTCTCTTCTAGGTTCTGGTGGTTCTGGTCTGATTACAGCCGGTGTGTTCCAGTCACCTGTACTGAAAGGAAAGTCTGGGGTGATCGTCAATACAGGGCGCAACAACCTTGATTTAGCTATTTCAGAAGATTTTGAAACAGCTTATCTAGGAGAAGAAGGAATGAACCACCCCTTCCGAGTGTATGAAACTGTCGTCCTTCGAATTAAACGCCCAGCGGCTATTTGCACGCTGATTGATCCGGAAGAATAA</x:v>
      </x:c>
      <x:c r="J5" t="str">
        <x:v>PV_A0A0F5HPP7_bf3dff0750db</x:v>
      </x:c>
    </x:row>
    <x:row r="6">
      <x:c r="A6" t="str">
        <x:v>T4GALA E-loop insertion variant</x:v>
      </x:c>
      <x:c r="B6" t="str">
        <x:v>Bacillus thermotolerans</x:v>
      </x:c>
      <x:c r="C6" t="str">
        <x:v>A0A0F5HPP7</x:v>
      </x:c>
      <x:c r="D6" t="str">
        <x:v>A0A0F5HPP7_T4GALA_T4</x:v>
      </x:c>
      <x:c r="E6" t="str">
        <x:v>BLD_A0A0F5HPP7_T4GALA_T4_builder_design</x:v>
      </x:c>
      <x:c r="F6" t="n">
        <x:v>304</x:v>
      </x:c>
      <x:c r="G6" t="n">
        <x:v>915</x:v>
      </x:c>
      <x:c r="H6" t="str">
        <x:v>PASS</x:v>
      </x:c>
      <x:c r="I6" s="63" t="str">
        <x:v>ATGAATAAATCGCAGCTTTATCCAGATTCTCCATTAACAGACCAGGATTTCAACCAGCTTGATCAGACCGTCATTGAAGCAGCCCGCCGTCAGTTAGTCGGCCGCCGCTTTATCGAGTTATATGGACCGCTTGGAAGAGGAATGCAAAGTGTATTTAATGATATCTTTATGGAGAGCCATGAAGGTGGTGGTGAAGCTCTGGCTGAAGCTCTGGCTGAAGCTCTGGCTGAAGCTCTGGCTGGTGGTGGTGCAAAAATGGACTTTCAAGGCTCTTTTGATACGGAAGTAGAATCCAGCAGACGCGTCAACTATACTATTCCTATGCTTTACAAGGATTTTGTACTGTATTGGCGCGACTTGGAGCAGTCTAAAGCACTAGACATACCGATTGACTTTTCCGTTGCTGCCAATGCAGCTCGTGATGTGGCTTTTCTAGAGGATCAGATGATTTTTCACGGTTCCAAGGAATTCGATATTCCTGGATTAATGAATGTCAAAGGCCGCTTGACTCATTTAATTGGCAATTGGTACGAGTCTGGAAACGCCTTTCAAGACATCGTTGAAGCAAGAAACAAATTACTTGAAATGAACCATAACGGCCCCTATGCACTTGTATTATCCCCAGAGCTGTACTCTCTTCTACACCGTGTACATAAAGATACAAATGTACTAGAGATCGAGCATGTACGCGAGCTGATTACAGCCGGTGTGTTCCAGTCACCTGTACTGAAAGGAAAGTCTGGGGTGATCGTCAATACAGGGCGCAACAACCTTGATTTAGCTATTTCAGAAGATTTTGAAACAGCTTATCTAGGAGAAGAAGGAATGAACCACCCCTTCCGAGTGTATGAAACTGTCGTCCTTCGAATTAAACGCCCAGCGGCTATTTGCACGCTGATTGATCCGGAAGAATAA</x:v>
      </x:c>
      <x:c r="J6" t="str">
        <x:v>PV_A0A0F5HPP7_ee1518131c0a</x:v>
      </x:c>
    </x:row>
    <x:row r="7">
      <x:c r="A7" t="str">
        <x:v>Enc</x:v>
      </x:c>
      <x:c r="B7" t="str">
        <x:v>Bacillus thermotolerans</x:v>
      </x:c>
      <x:c r="C7" t="str">
        <x:v>A0A0F5HPP7</x:v>
      </x:c>
      <x:c r="D7" t="str">
        <x:v>A0A0F5HPP7_T4_empty</x:v>
      </x:c>
      <x:c r="E7" t="str">
        <x:v>BLD_A0A0F5HPP7_T4_empty_builder_design</x:v>
      </x:c>
      <x:c r="F7" t="n">
        <x:v>282</x:v>
      </x:c>
      <x:c r="G7" t="n">
        <x:v>849</x:v>
      </x:c>
      <x:c r="H7" t="str">
        <x:v>PASS</x:v>
      </x:c>
      <x:c r="I7" s="63" t="str">
        <x:v>ATGAATAAATCGCAGCTTTATCCAGATTCTCCATTAACAGACCAGGATTTCAACCAGCTTGATCAGACCGTCATTGAAGCAGCCCGCCGTCAGTTAGTCGGCCGCCGCTTTATCGAGTTATATGGACCGCTTGGAAGAGGAATGCAAAGTGTATTTAATGATATCTTTATGGAGAGCCATGAAGCAAAAATGGACTTTCAAGGCTCTTTTGATACGGAAGTAGAATCCAGCAGACGCGTCAACTATACTATTCCTATGCTTTACAAGGATTTTGTACTGTATTGGCGCGACTTGGAGCAGTCTAAAGCACTAGACATACCGATTGACTTTTCCGTTGCTGCCAATGCAGCTCGTGATGTGGCTTTTCTAGAGGATCAGATGATTTTTCACGGTTCCAAGGAATTCGATATTCCTGGATTAATGAATGTCAAAGGCCGCTTGACTCATTTAATTGGCAATTGGTACGAGTCTGGAAACGCCTTTCAAGACATCGTTGAAGCAAGAAACAAATTACTTGAAATGAACCATAACGGCCCCTATGCACTTGTATTATCCCCAGAGCTGTACTCTCTTCTACACCGTGTACATAAAGATACAAATGTACTAGAGATCGAGCATGTACGCGAGCTGATTACAGCCGGTGTGTTCCAGTCACCTGTACTGAAAGGAAAGTCTGGGGTGATCGTCAATACAGGGCGCAACAACCTTGATTTAGCTATTTCAGAAGATTTTGAAACAGCTTATCTAGGAGAAGAAGGAATGAACCACCCCTTCCGAGTGTATGAAACTGTCGTCCTTCGAATTAAACGCCCAGCGGCTATTTGCACGCTGATTGATCCGGAAGAATAA</x:v>
      </x:c>
      <x:c r="J7" t="str">
        <x:v>PV_A0A0F5HPP7_daa51d4cab15</x:v>
      </x:c>
    </x:row>
    <x:row r="8">
      <x:c r="A8" t="str">
        <x:v>B. linens encapsulin</x:v>
      </x:c>
      <x:c r="B8" t="str">
        <x:v>Brevibacterium linens</x:v>
      </x:c>
      <x:c r="C8" t="str">
        <x:v>Q45296</x:v>
      </x:c>
      <x:c r="D8" t="str">
        <x:v>Q45296_ref</x:v>
      </x:c>
      <x:c r="E8" t="str">
        <x:v>BLD_Q45296_ref_builder_design</x:v>
      </x:c>
      <x:c r="F8" t="n">
        <x:v>266</x:v>
      </x:c>
      <x:c r="G8" t="n">
        <x:v>801</x:v>
      </x:c>
      <x:c r="H8" t="str">
        <x:v>PASS</x:v>
      </x:c>
      <x:c r="I8" s="63" t="str">
        <x:v>GTGAATAACCTCTATCGCGAGCTTGCCCCCATCCCCGGCCCGGCCTGGGCGGAGATCGAGGAGGAGGCTCGACGGACATTCAAACGCAATATCGCCGGCCGCCGGATCGTCGATGTCGCAGGGCCCACGGGCTTCGAGACCTCCGCGGTGACCACTGGCCACATCCGAGACGTCCAGTCGGAGACGAGCGGACTGCAGGTTAAGCAGCGCATCGTGCAGGAATACATCGAGCTGCGGACCCCATTCACCGTGACTCGGCAGGCCATCGATGACGTGGCCCGCGGGTCCGGTGACTCGGACTGGCAGCCCGTCAAGGATGCGGCCACGACGATCGCGATGGCTGAAGATCGGGCCATTCTCCACGGGCTCGATGCGGCCGGGATCGGCGGAATCGTTCCCGGCAGCTCGAATGCCGCAGTGGCCATCCCCGACGCCGTCGAGGACTTCGCGGACGCCGTCGCCCAGGCGCTGAGTGTGCTGCGCACGGTGGGAGTCGACGGGCCCTACAGCCTGTTGCTCTCCTCCGCGGAGTACACCAAGGTCTCCGAGTCCACCGACCACGGCTACCCGATCCGCGAGCACCTCTCCCGGCAGCTCGGCGCCGGAGAGATCATCTGGGCGCCCGCGCTCGAAGGGGCGCTGCTCGTCTCCACGCGCGGGGGTGACTACGAGCTCCACCTCGGCCAGGACCTGTCGATCGGTTACTACAGCCACGACAGCGAGACCGTCGAACTCTATCTGCAGGAGACCTTCGGATTCCTCGCGCTGACCGACGAATCCAGTGTGCCTTTGAGCCTCTGA</x:v>
      </x:c>
      <x:c r="J8" t="str">
        <x:v>PV_Q45296_124873b810e7</x:v>
      </x:c>
    </x:row>
    <x:row r="9">
      <x:c r="A9" t="str">
        <x:v>DendroEnc shell</x:v>
      </x:c>
      <x:c r="B9" t="str">
        <x:v>Dendrosporobacter quercicolus</x:v>
      </x:c>
      <x:c r="C9" t="str">
        <x:v>A0A1G9WS71</x:v>
      </x:c>
      <x:c r="D9" t="str">
        <x:v>A0A1G9WS71_ref</x:v>
      </x:c>
      <x:c r="E9" t="str">
        <x:v>BLD_A0A1G9WS71_ref_builder_design</x:v>
      </x:c>
      <x:c r="F9" t="n">
        <x:v>278</x:v>
      </x:c>
      <x:c r="G9" t="n">
        <x:v>837</x:v>
      </x:c>
      <x:c r="H9" t="str">
        <x:v>PASS</x:v>
      </x:c>
      <x:c r="I9" s="63" t="str">
        <x:v>GTGGACTTTTTAGATCGCAACGCTGCGCCGCTGAATGAAGGCGAATGGCAGCGTATTGATGAAGCTGTTGTCAGCACTGCCCGCCGTACCTTGGTAGCCCGGCGGATCATTGATGTCCTGGGACCGCTTGGTTCGGGCGTGTATAGCATTCCTTACTCGGTCTTTAGCGGAAAATCCCCGACAGGAATTGATATGGTTGGGGAAAATGAAGAATTTGTCGTTGAAGCCAGCCGGCGGGCGACGATTAATTTACCTATTTTGTATAAAGATTTTAAAATTATGTGGCGGGATGTTGAAGCTGACCGGCATTTGGGCTTGCCGATTGATGTAAGCACTGCCGCCGTTGCCGGCAACTTTGTCGCTGTGCAGGAAGATCATCTGATTTTTAACGGCAATGTCGAATTGGGGCATGATGGCCTGTTTACTGTAAAAGACCGTCAGACTGTAGCGATCAGTGACTGGAATGAAACCGGCGCCGCTCTGGCCGATGTGGTCAAGGCAGTCGGTGCTTTAAGTCAGGCTGGTCATTACGGGCCTTATGCCATGGTAGTAAGCCCCGTGCTGTTTGGCCGGATGATCAGAGTGTTTGGCAATACCGGCATGCTCGAGCTTGATCAGGTCAAAGCGCTCATCACCGGCGGGGTTCATTACTCTAATGTCATCGGCGGTTCCAAGGCCGTAGTGGTCGCCACCGGCTCGCAAAACCTCAATCTCGCCCTGGGTCAGGATATGGTAACCGCCTACATGGGTCCGACCAGCATGAATCATGTATTCCGCGTACTGGAAACAGCAGCTCTCCTGGTACGCCGTCCGGACGCCATCTGTACAATCGAATAA</x:v>
      </x:c>
      <x:c r="J9" t="str">
        <x:v>PV_A0A1G9WS71_ef8b09c764ea</x:v>
      </x:c>
    </x:row>
    <x:row r="10">
      <x:c r="A10" t="str">
        <x:v>Enc</x:v>
      </x:c>
      <x:c r="B10" t="str">
        <x:v>Haliangium ochraceum</x:v>
      </x:c>
      <x:c r="C10" t="str">
        <x:v>D0LZ74</x:v>
      </x:c>
      <x:c r="D10" t="str">
        <x:v>D0LZ74_T1_empty</x:v>
      </x:c>
      <x:c r="E10" t="str">
        <x:v>BLD_D0LZ74_T1_empty_builder_design</x:v>
      </x:c>
      <x:c r="F10" t="n">
        <x:v>266</x:v>
      </x:c>
      <x:c r="G10" t="n">
        <x:v>801</x:v>
      </x:c>
      <x:c r="H10" t="str">
        <x:v>PASS</x:v>
      </x:c>
      <x:c r="I10" s="63" t="str">
        <x:v>ATGGATCTACTCAAGCGACATCTCGCCCCCATCGTTCCCGACGCCTGGTCCGCCATCGACGAAGAGGCCAAGGAGATTTTTCAGGGACACCTGGCCGGCCGCAAGCTGGTCGATTTCCGCGGCCCCTTCGGCTGGGAGTACGCGGCCGTCAACACCGGCGAGCTGCGTCCCATCGACGACACGCCCGAGGACGTGGACATGAAGCTGCGCCAGGTGCAGCCGCTCGCCGAGGTGCGGGTGCCGTTCACGCTCGACGTCACCGAGCTCGACTCCGTGGCCCGCGGCGCCACCAACCCCGACCTCGACGATGTCGCCCGCGCCGCCGAGCGCATGGTCGAGGCCGAGGATTCGGCCATCTTCCACGGCTGGGCGCAGGCCGGCATCAAGGGCATCGTCGACTCGACGCCGCACGAGGCCCTTGCCGTGGCCAGCGTCAGCGACTTCCCCCGGGCCGTGCTCTCGGCCGCCGACACGCTGCGCAAGGCCGGCGTCACCGGGCCCTACGCTCTGGTCCTCGGCCCCAAGGCCTACGACGACCTGTTCGCGGCCACTCAGGACGGCTACCCCGTGGCCAAGCAGGTGCAGCGCCTGGTGGTCGACGGCCCGCTGGTGCGCGCCAACGCGCTCGCCGGCGCGCTGGTGATGTCGATGCGCGGCGGCGACTACGAGCTGACCGTGGGCCAGGATCTGTCCATCGGCTACGCCTTCCACGACCGCAGCAAGGTCGAGCTATTCGTCGCCGAGTCGTTCACCTTCCGCGTGCTCGAGCCCGGCGCCGCCGTGCACCTGCGCTACGCCTGA</x:v>
      </x:c>
      <x:c r="J10" t="str">
        <x:v>PV_D0LZ74_492e534b6c98</x:v>
      </x:c>
    </x:row>
    <x:row r="11">
      <x:c r="A11" t="str">
        <x:v>Enc</x:v>
      </x:c>
      <x:c r="B11" t="str">
        <x:v>Mycobacterium tuberculosis</x:v>
      </x:c>
      <x:c r="C11" t="str">
        <x:v>I6WZG6</x:v>
      </x:c>
      <x:c r="D11" t="str">
        <x:v>I6WZG6_ref</x:v>
      </x:c>
      <x:c r="E11" t="str">
        <x:v>BLD_I6WZG6_ref_builder_design</x:v>
      </x:c>
      <x:c r="F11" t="n">
        <x:v>265</x:v>
      </x:c>
      <x:c r="G11" t="n">
        <x:v>798</x:v>
      </x:c>
      <x:c r="H11" t="str">
        <x:v>PASS</x:v>
      </x:c>
      <x:c r="I11" s="63" t="str">
        <x:v>ATGAACAATCTCTACCGCGATTTGGCACCGGTCACCGAAGCCGCTTGGGCGGAAATCGAATTGGAGGCGGCGCGGACGTTCAAGCGACACATCGCCGGGCGCCGGGTGGTCGATGTCAGTGATCCCGGGGGGCCCGTCACCGCGGCGGTCAGCACCGGCCGGCTGATCGATGTTAAGGCACCAACCAACGGCGTGATCGCCCACCTGCGGGCCAGCAAACCCCTTGTCCGGCTACGGGTTCCGTTTACCCTGTCGCGCAACGAGATCGACGACGTGGAACGTGGCTCTAAGGACTCCGATTGGGAACCGGTAAAGGAGGCGGCCAAGAAGCTGGCCTTCGTCGAGGACCGCACAATATTCGAAGGCTACAGCGCCGCATCAATCGAAGGGATCCGCAGCGCGAGTTCGAACCCGGCGCTGACGTTGCCCGAGGATCCCCGTGAAATCCCTGATGTCATCTCCCAGGCATTGTCCGAACTGCGGTTGGCCGGTGTGGACGGACCGTATTCGGTGTTGCTCTCTGCTGACGTCTACACCAAGGTTAGCGAGACTTCCGATCACGGCTATCCCATCCGTGAGCATCTGAACCGGCTGGTGGACGGGGACATCATTTGGGCCCCGGCCATCGACGGCGCGTTCGTGCTGACCACTCGAGGCGGCGACTTCGACCTACAGCTGGGCACCGACGTTGCAATCGGGTACGCCAGCCACGACACGGACACCGTGCGCCTCTACCTGCAGGAGACGCTGACGTTCCTTTGCTACACCGCCGAGGCGTCGGTCGCGCTCAGCCACTAA</x:v>
      </x:c>
      <x:c r="J11" t="str">
        <x:v>PV_I6WZG6_4bcf4b7c8fa4</x:v>
      </x:c>
    </x:row>
    <x:row r="12">
      <x:c r="A12" t="str">
        <x:v>M. hassiacum encapsulin</x:v>
      </x:c>
      <x:c r="B12" t="str">
        <x:v>Mycolicibacterium hassiacum</x:v>
      </x:c>
      <x:c r="C12" t="str">
        <x:v>K5BEG2</x:v>
      </x:c>
      <x:c r="D12" t="str">
        <x:v>K5BEG2_ref</x:v>
      </x:c>
      <x:c r="E12" t="str">
        <x:v>BLD_K5BEG2_ref_builder_design</x:v>
      </x:c>
      <x:c r="F12" t="n">
        <x:v>265</x:v>
      </x:c>
      <x:c r="G12" t="n">
        <x:v>798</x:v>
      </x:c>
      <x:c r="H12" t="str">
        <x:v>PASS</x:v>
      </x:c>
      <x:c r="I12" s="63" t="str">
        <x:v>ATGAACAACCTGTATCGCGAACTCGCGCCGGTCACCGATGCCGCGTGGCATGAGATCGAGACCGAGGCCATCCGCACGTTCAAGCGGCACATCGCCGGCCGGCGCGTCGTCGACGTCAGCGAGCCCAGCGGCCCGGTGACGGCCGCGGTCAGCACCGGTCATCTGCGCGATATCAGCCCGCCCGGCGACGGGGTGGTCGCGCATCTGCGGGAGAGCAAACCGCTGGTGCGCCTGCGGGTGCCGTTCACCGTCACCCGCAGCGCGATCGACGACGTCGAGCGGGGATCGCAGGACTCCGACTGGGACCCGGTCAAGGCGGCCGCCAAGAAGCTGGCGTTCGTCGAGGACCGCGCGATCTTCGAGGGGTACCCGGCGGCGCAGATCGACGGCATCCGCCAGTGCACGTCGAATCCGGTGCTGCAGTTGCCCGACGATGCCCGCGACATCACCGACGTGATCGCCCAGGCGCTGTCGGAGCTGCGGCTCGCGGGTGTGGACGGGCCGTACTCGGTGCTGCTGTCGGCGGAGGTCTACACCAAGGTCAGCGAGACCACCGAGCACGGCTATCCGATCCGCGAGCACCTCAACCGACTGGTCGACGGCGACATCATCTGGGCGCCCGCGATCGACGGGGCGTTCGTATTGTCAACGCGCGGAGGCGATTTCGATCTGCGGCTGGGCACCGACGTTTCGATCGGTTACCTGTCGCACGACGCCGAGACCGTGCAGTTGTACCTCGAGGAGACGCTGACGTTCTTGTGCTACACCTCCGAGGCCTCGGTCGCCCTCACGCCCTAG</x:v>
      </x:c>
      <x:c r="J12" t="str">
        <x:v>PV_K5BEG2_2e201f1defa3</x:v>
      </x:c>
    </x:row>
    <x:row r="13">
      <x:c r="A13" t="str">
        <x:v>3×His-MxEnc (K199H/T200H/G201H)</x:v>
      </x:c>
      <x:c r="B13" t="str">
        <x:v>Myxococcus xanthus</x:v>
      </x:c>
      <x:c r="C13" t="str">
        <x:v>Q1D6H4</x:v>
      </x:c>
      <x:c r="D13" t="str">
        <x:v>Q1D6H4_3xHis_T1</x:v>
      </x:c>
      <x:c r="E13" t="str">
        <x:v>BLD_Q1D6H4_3xHis_T1_builder_design</x:v>
      </x:c>
      <x:c r="F13" t="n">
        <x:v>287</x:v>
      </x:c>
      <x:c r="G13" t="n">
        <x:v>864</x:v>
      </x:c>
      <x:c r="H13" t="str">
        <x:v>PASS</x:v>
      </x:c>
      <x:c r="I13" s="63" t="str">
        <x:v>ATGCCGGATTTCTTGGGACATGCTGAGAACCCATTGCGCGAAGAAGAGTGGGCCCGTTTAAACGAGACTGTAATCCAGGTTGCCCGCCGCTCTTTGGTTGGGCGTCGTATCTTAGACATTTATGGCCCTTTGGGAGCGGGTGTGCAAACGGTTCCATATGATGAGTTTCAGGGCGTAAGTCCGGGGGCCGTTGATATCGTGGGTGAGCAAGAAACCGCAATGGTGTTTACCGATGCCCGCAAGTTTAAGACCATCCCGATCATTTATAAAGATTTCTTGCTGCATTGGCGTGATATTGAGGCGGCGCGTACCCATAACATGCCCTTAGATGTTTCGGCAGCCGCTGGGGCGGCGGCCTTATGCGCTCAGCAGGAAGACGAGTTAATCTTCTACGGCGACGCTCGCTTGGGATACGAAGGGTTAATGACAGCTAATGGCCGTCTGACGGTTCCTTTAGGGGACTGGACCTCTCCGGGTGGTGGTTTTCAGGCAATCGTGGAAGCTACCCGCAAACTGAACGAGCAGGGACATTTTGGTCCCTACGCCGTGGTTTTATCGCCTCGCTTGTATTCCCAACTTCACCGCATCTACGAACATCATCATGTGCTGGAAATTGAAACGATTCGTCAACTTGCCTCTGATGGTGTGTATCAATCAAACCGTCTGCGCGGGGAATCTGGTGTTGTGGTGTCCACAGGCCGTGAAAATATGGACTTAGCGGTAAGCATGGACATGGTCGCTGCTTATTTAGGAGCTTCTCGTATGAATCACCCTTTTCGCGTACTGGAAGCATTGCTTCTGCGCATTAAGCACCCAGATGCGATTTGTACATTAGAAGGAGCTGGAGCTACAGAGCGCCGCTAA</x:v>
      </x:c>
      <x:c r="J13" t="str">
        <x:v>PV_Q1D6H4_814b782c1fc0</x:v>
      </x:c>
    </x:row>
    <x:row r="14">
      <x:c r="A14" t="str">
        <x:v>EncA</x:v>
      </x:c>
      <x:c r="B14" t="str">
        <x:v>Myxococcus xanthus</x:v>
      </x:c>
      <x:c r="C14" t="str">
        <x:v>Q1D6H4</x:v>
      </x:c>
      <x:c r="D14" t="str">
        <x:v>Q1D6H4_T3</x:v>
      </x:c>
      <x:c r="E14" t="str">
        <x:v>BLD_Q1D6H4_T3_builder_design</x:v>
      </x:c>
      <x:c r="F14" t="n">
        <x:v>287</x:v>
      </x:c>
      <x:c r="G14" t="n">
        <x:v>864</x:v>
      </x:c>
      <x:c r="H14" t="str">
        <x:v>PASS</x:v>
      </x:c>
      <x:c r="I14" s="63" t="str">
        <x:v>ATGCCTGACTTCCTTGGACATGCCGAGAACCCGCTCCGCGAAGAGGAGTGGGCGCGTCTGAACGAGACTGTCATCCAGGTCGCCCGGCGTTCGCTGGTGGGCCGGCGCATCCTGGACATCTACGGGCCGCTGGGCGCCGGGGTGCAGACGGTTCCCTACGACGAGTTCCAGGGCGTTTCACCCGGCGCCGTGGACATCGTCGGCGAGCAGGAGACCGCGATGGTCTTCACCGATGCTCGCAAGTTCAAGACCATCCCCATCATCTACAAGGACTTCCTGCTGCACTGGCGCGACATCGAGGCCGCGCGCACGCACAACATGCCACTGGACGTGTCGGCCGCCGCAGGCGCCGCCGCGCTGTGCGCGCAGCAGGAAGACGAACTCATCTTCTACGGCGACGCGCGCCTGGGCTACGAAGGCCTGATGACGGCCAACGGCCGGCTCACGGTGCCGCTGGGTGACTGGACGTCGCCGGGTGGCGGTTTCCAGGCCATCGTCGAGGCCACGCGCAAGCTCAACGAGCAGGGCCACTTCGGCCCCTACGCCGTCGTGCTCTCGCCGCGGCTGTACTCGCAGCTGCACCGCATCTACGAGAAGACGGGCGTACTGGAGATTGAGACCATCCGCCAGCTCGCGTCGGACGGCGTCTACCAGTCCAACCGCCTGCGCGGGGAGTCCGGCGTGGTGGTGTCCACCGGCCGGGAGAACATGGACCTCGCAGTGTCCATGGACATGGTGGCGGCGTACCTGGGCGCGTCGAGGATGAACCACCCGTTCCGCGTGCTGGAGGCGCTGCTGCTGCGCATCAAGCACCCGGACGCCATCTGCACGCTGGAGGGCGCCGGCGCCACGGAACGTCGCTAG</x:v>
      </x:c>
      <x:c r="J14" t="str">
        <x:v>PV_Q1D6H4_5999f892ea42</x:v>
      </x:c>
    </x:row>
    <x:row r="15">
      <x:c r="A15" t="str">
        <x:v>Mx_pmut (ΔI195–L202 + GG)</x:v>
      </x:c>
      <x:c r="B15" t="str">
        <x:v>Myxococcus xanthus</x:v>
      </x:c>
      <x:c r="C15" t="str">
        <x:v>Q1D6H4</x:v>
      </x:c>
      <x:c r="D15" t="str">
        <x:v>Q1D6H4_pmut_T1</x:v>
      </x:c>
      <x:c r="E15" t="str">
        <x:v>BLD_Q1D6H4_pmut_T1_builder_design</x:v>
      </x:c>
      <x:c r="F15" t="n">
        <x:v>281</x:v>
      </x:c>
      <x:c r="G15" t="n">
        <x:v>846</x:v>
      </x:c>
      <x:c r="H15" t="str">
        <x:v>PASS</x:v>
      </x:c>
      <x:c r="I15" s="63" t="str">
        <x:v>ATGCCAGATTTTTTGGGTCACGCAGAAAACCCACTCCGGGAGGAAGAGTGGGCTCGCCTTAACGAGACAGTTATTCAGGTTGCCCGTCGTTCGCTTGTGGGGCGTCGGATTCTTGATATTTATGGCCCTTTGGGCGCAGGCGTCCAAACAGTACCATATGACGAATTTCAGGGTGTGAGCCCAGGCGCAGTAGACATCGTCGGGGAACAAGAAACTGCTATGGTCTTCACCGACGCCCGGAAGTTCAAAACTATCCCTATCATTTACAAAGACTTCCTCCTTCATTGGCGTGACATCGAAGCTGCGCGCACGCATAATATGCCTCTTGATGTAAGTGCGGCCGCCGGTGCAGCTGCCCTTTGCGCCCAGCAAGAGGATGAGCTTATCTTCTATGGCGACGCTCGGCTCGGGTATGAAGGCCTTATGACGGCGAACGGTCGGCTGACTGTTCCATTAGGTGACTGGACTTCCCCGGGTGGCGGCTTCCAGGCCATTGTCGAAGCCACTCGTAAGTTAAACGAACAAGGCCACTTTGGTCCATACGCTGTTGTGCTGTCACCTCGCTTATATTCCCAGTTACATCGGGGTGGCGAGATCGAGACAATTCGCCAGCTCGCCTCAGATGGTGTTTATCAGTCGAATCGGTTACGGGGTGAGAGTGGCGTCGTGGTCTCTACAGGCCGTGAAAACATGGATTTAGCGGTGAGTATGGATATGGTTGCAGCCTACTTAGGGGCATCCCGGATGAATCACCCTTTTCGCGTACTGGAAGCCCTCCTTTTGCGCATCAAGCATCCTGACGCGATCTGTACGTTAGAAGGTGCTGGTGCGACTGAGCGGCGCTAA</x:v>
      </x:c>
      <x:c r="J15" t="str">
        <x:v>PV_Q1D6H4_85d97f307cb6</x:v>
      </x:c>
    </x:row>
    <x:row r="16">
      <x:c r="A16" t="str">
        <x:v>R. rubrum encapsulin</x:v>
      </x:c>
      <x:c r="B16" t="str">
        <x:v>Rhodospirillum rubrum</x:v>
      </x:c>
      <x:c r="C16" t="str">
        <x:v>Q2RVS0</x:v>
      </x:c>
      <x:c r="D16" t="str">
        <x:v>Q2RVS0_ref</x:v>
      </x:c>
      <x:c r="E16" t="str">
        <x:v>BLD_Q2RVS0_ref_builder_design</x:v>
      </x:c>
      <x:c r="F16" t="n">
        <x:v>280</x:v>
      </x:c>
      <x:c r="G16" t="n">
        <x:v>843</x:v>
      </x:c>
      <x:c r="H16" t="str">
        <x:v>PASS</x:v>
      </x:c>
      <x:c r="I16" s="63" t="str">
        <x:v>ATGAACGATCTGATGCGTGACTTGGCGCCGATCTCGGCCAAGGCCTGGGCGGAAATTGAAACGGAAGCGCGCGGGACCCTGACGGTCACCCTGGCGGCGCGCAAGGTGGTGGACTTCAAGGGACCGCTGGGCTGGGACGCCTCGTCGGTGTCCTTGGGGCGGACCGAGGCTTTGGCCGAGGAGCCCAAGGCGGCGGGAAGCGCCGCCGTGGTCACGGTGCGCAAGCGCGCCGTTCAGCCGCTGATCGAGCTCTGCGTGCCTTTCACTTTGAAGCGCGCCGAGTTGGAGGCGATCGCCCGCGGCGCGTCGGATGCCGATCTTGATCCGGTGATCGAGGCCGCCCGCGCCATCGCCATCGCCGAGGACCGCGCCGTGTTCCACGGCTTCGCCGCCGGCGGCATCACCGGCATCGGCGAAGCCTCGGCCGAGCATGCCCTGGATCTGCCCGCCGACCTCGCCGATTTCCCCGGCGTGCTGGTGCGCGCTCTGGCGGTGCTGCGCGATCGCGGCGTCGATGGCCCTTACGCCCTGGTGCTGGGCCGCACCGTCTATCAGCAGCTGATGGAAACCACCACGCCGGGCGGCTATCCGGTGCTTCAGCACGTGCGCCGGCTGTTCGAAGGCCCGCTGATCTGGGCCCCGGGTGTCGATGGCGCGATGCTGATCAGCCAGCGCGGCGGCGATTTCGAACTGACCGTTGGCCGCGATTTCTCGATCGGCTATCACGATCACGACGCCCAGTCCGTGCATCTTTATCTGCAAGAAAGCATGACCTTCCGCTGCCTTGGCCCCGAAGCCGCCGTGCCGCTGCGTGGCCTGTCCCAGGCCGCCACCAAGGCATAA</x:v>
      </x:c>
      <x:c r="J16" t="str">
        <x:v>PV_Q2RVS0_b2005f7b6811</x:v>
      </x:c>
    </x:row>
    <x:row r="17">
      <x:c r="A17" t="str">
        <x:v>SrpI shell</x:v>
      </x:c>
      <x:c r="B17" t="str">
        <x:v>Synechococcus elongatus</x:v>
      </x:c>
      <x:c r="C17" t="str">
        <x:v>Q55032</x:v>
      </x:c>
      <x:c r="D17" t="str">
        <x:v>Q55032_T1_empty</x:v>
      </x:c>
      <x:c r="E17" t="str">
        <x:v>BLD_Q55032_T1_empty_builder_design</x:v>
      </x:c>
      <x:c r="F17" t="n">
        <x:v>306</x:v>
      </x:c>
      <x:c r="G17" t="n">
        <x:v>921</x:v>
      </x:c>
      <x:c r="H17" t="str">
        <x:v>PASS</x:v>
      </x:c>
      <x:c r="I17" s="63" t="str">
        <x:v>ATGACTGATAACGCCCCGCAGTTAGCGTTGCGTGATGTTGCTGCACGCCAGTTAGCCAACGCGACCAAAACCGTTCCGCAGCTTCGCACCATTACCCCCCGGTGGTTGGTGCGGCTGTTGCACTGGACGCCAGTGGAAGCGGGTATCTACCGCGTCAACCAAGTTAAAGACGCTTCGCAGATTACGGTGGCCTGCTCGGAACGAGATGAGTCAGAGCTGCCCGAAACCTTTGTCGATTACATCGATAATCCCCGCGAGTATTTGCTCAGCGCCGTCAATACGGTAGTGGATGTCCATACCCGCATCTCAGATCTATACAGCAATCCCCACGATCAAATCCGTGAGCAGTTGCGGCTGACGATCGAGATTATGAAGGAGCGGCAGGAAAGCGAGCTGATCAATAGCCGCGAATATGGACTGCTGAATAATGTGGCACCAGGGCAATTAGTCCACACCCGCAATGGTGCACCAACACCAGATGATCTGGATGAGCTCTTGATTCGCGTTTGGAAAGAGCCGGCCTTTTTCCTGGCTCATCCGCAGGCGATCGCAGCTTTTGGTCGGGAATGCACACGCCGAGGAGTTCCGCCTGCCACGGTTTCTCTGTTCGGCTCCTCATTCATCACTTGGCGAGGCGTGCCACTGATTCCGTCGGACAAAGTGCCACTGGAGAATGGCAAGACCAAAATCCTGCTCCTGCGTGTGGGGGAAAGTCGGCAGGGCGTTGTGGGTCTTTATCAACCCAATCTGCCGGGTGAGCAGGGCATGGGTTTATCGGTACGTTTTATGGGCATTAATCGCAAAGCCTTAGCCAGCTATTTGGTGTCGCTCTACTGCTCGCTGGCGGTGCTGACGGACGATGCGTTAGCGGTGCTGGACAACGTCGATGTCACTCAGTACCACACCTATCGCTACAACTAA</x:v>
      </x:c>
      <x:c r="J17" t="str">
        <x:v>PV_Q55032_a44e2e38d2e0</x:v>
      </x:c>
    </x:row>
    <x:row r="18">
      <x:c r="A18" t="str">
        <x:v>S1K pore variant</x:v>
      </x:c>
      <x:c r="B18" t="str">
        <x:v>Thermotoga maritima</x:v>
      </x:c>
      <x:c r="C18" t="str">
        <x:v>Q9WZP2</x:v>
      </x:c>
      <x:c r="D18" t="str">
        <x:v>Q9WZP2_S1K_T1</x:v>
      </x:c>
      <x:c r="E18" t="str">
        <x:v>BLD_Q9WZP2_S1K_T1_builder_design</x:v>
      </x:c>
      <x:c r="F18" t="n">
        <x:v>265</x:v>
      </x:c>
      <x:c r="G18" t="n">
        <x:v>798</x:v>
      </x:c>
      <x:c r="H18" t="str">
        <x:v>PASS</x:v>
      </x:c>
      <x:c r="I18"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AAAGAAGAGGCCGGGAAGTATCCCTTGGAGAAACGCGTAGAGGAGTGCTTACGTGGGGGGAAAATCATCACGACTCCCCGTATCGAGGATGCTTTGGTAGTGTCAGAGCGCGGCGGTGATTTCAAACTGATCTTGGGACAAGATTTATCAATCGGCTACGAAGACCGTGAGAAAGACGCTGTACGTCTTTTTATCACAGAGACATTTACATTTCAGGTTGTTAATCCGGAGGCTCTTATTTTACTGAAATTCTGA</x:v>
      </x:c>
      <x:c r="J18" t="str">
        <x:v>PV_Q9WZP2_4e9fc90baf50</x:v>
      </x:c>
    </x:row>
    <x:row r="19">
      <x:c r="A19" t="str">
        <x:v>S1R pore variant</x:v>
      </x:c>
      <x:c r="B19" t="str">
        <x:v>Thermotoga maritima</x:v>
      </x:c>
      <x:c r="C19" t="str">
        <x:v>Q9WZP2</x:v>
      </x:c>
      <x:c r="D19" t="str">
        <x:v>Q9WZP2_S1R_T1</x:v>
      </x:c>
      <x:c r="E19" t="str">
        <x:v>BLD_Q9WZP2_S1R_T1_builder_design</x:v>
      </x:c>
      <x:c r="F19" t="n">
        <x:v>265</x:v>
      </x:c>
      <x:c r="G19" t="n">
        <x:v>798</x:v>
      </x:c>
      <x:c r="H19" t="str">
        <x:v>PASS</x:v>
      </x:c>
      <x:c r="I19"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AAAGAAGAGGCCGGGCGCTATCCCTTGGAGAAACGCGTAGAGGAGTGCTTACGTGGGGGGAAAATCATCACGACTCCCCGTATCGAGGATGCTTTGGTAGTGTCAGAGCGCGGCGGTGATTTCAAACTGATCTTGGGACAAGATTTATCAATCGGCTACGAAGACCGTGAGAAAGACGCTGTACGTCTTTTTATCACAGAGACATTTACATTTCAGGTTGTTAATCCGGAGGCTCTTATTTTACTGAAATTCTGA</x:v>
      </x:c>
      <x:c r="J19" t="str">
        <x:v>PV_Q9WZP2_2815c7bfee4f</x:v>
      </x:c>
    </x:row>
    <x:row r="20">
      <x:c r="A20" t="str">
        <x:v>S3E pore variant</x:v>
      </x:c>
      <x:c r="B20" t="str">
        <x:v>Thermotoga maritima</x:v>
      </x:c>
      <x:c r="C20" t="str">
        <x:v>Q9WZP2</x:v>
      </x:c>
      <x:c r="D20" t="str">
        <x:v>Q9WZP2_S3E_T1</x:v>
      </x:c>
      <x:c r="E20" t="str">
        <x:v>BLD_Q9WZP2_S3E_T1_builder_design</x:v>
      </x:c>
      <x:c r="F20" t="n">
        <x:v>265</x:v>
      </x:c>
      <x:c r="G20" t="n">
        <x:v>798</x:v>
      </x:c>
      <x:c r="H20" t="str">
        <x:v>PASS</x:v>
      </x:c>
      <x:c r="I20"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AAAGAAGAGGCCGAGGAGGAGCCCTTGGAGAAACGCGTAGAGGAGTGCTTACGTGGGGGGAAAATCATCACGACTCCCCGTATCGAGGATGCTTTGGTAGTGTCAGAGCGCGGCGGTGATTTCAAACTGATCTTGGGACAAGATTTATCAATCGGCTACGAAGACCGTGAGAAAGACGCTGTACGTCTTTTTATCACAGAGACATTTACATTTCAGGTTGTTAATCCGGAGGCTCTTATTTTACTGAAATTCTGA</x:v>
      </x:c>
      <x:c r="J20" t="str">
        <x:v>PV_Q9WZP2_e235229fe11e</x:v>
      </x:c>
    </x:row>
    <x:row r="21">
      <x:c r="A21" t="str">
        <x:v>S5D pore variant</x:v>
      </x:c>
      <x:c r="B21" t="str">
        <x:v>Thermotoga maritima</x:v>
      </x:c>
      <x:c r="C21" t="str">
        <x:v>Q9WZP2</x:v>
      </x:c>
      <x:c r="D21" t="str">
        <x:v>Q9WZP2_S5D_T1</x:v>
      </x:c>
      <x:c r="E21" t="str">
        <x:v>BLD_Q9WZP2_S5D_T1_builder_design</x:v>
      </x:c>
      <x:c r="F21" t="n">
        <x:v>261</x:v>
      </x:c>
      <x:c r="G21" t="n">
        <x:v>786</x:v>
      </x:c>
      <x:c r="H21" t="str">
        <x:v>PASS</x:v>
      </x:c>
      <x:c r="I21"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AAAGAAGACGACTTGGAGAAACGCGTAGAGGAGTGCTTACGTGGGGGGAAAATCATCACGACTCCCCGTATCGAGGATGCTTTGGTAGTGTCAGAGCGCGGCGGTGATTTCAAACTGATCTTGGGACAAGATTTATCAATCGGCTACGAAGACCGTGAGAAAGACGCTGTACGTCTTTTTATCACAGAGACATTTACATTTCAGGTTGTTAATCCGGAGGCTCTTATTTTACTGAAATTCTGA</x:v>
      </x:c>
      <x:c r="J21" t="str">
        <x:v>PV_Q9WZP2_9b4f3e4ec735</x:v>
      </x:c>
    </x:row>
    <x:row r="22">
      <x:c r="A22" t="str">
        <x:v>S6E pore variant</x:v>
      </x:c>
      <x:c r="B22" t="str">
        <x:v>Thermotoga maritima</x:v>
      </x:c>
      <x:c r="C22" t="str">
        <x:v>Q9WZP2</x:v>
      </x:c>
      <x:c r="D22" t="str">
        <x:v>Q9WZP2_S6E_T1</x:v>
      </x:c>
      <x:c r="E22" t="str">
        <x:v>BLD_Q9WZP2_S6E_T1_builder_design</x:v>
      </x:c>
      <x:c r="F22" t="n">
        <x:v>258</x:v>
      </x:c>
      <x:c r="G22" t="n">
        <x:v>777</x:v>
      </x:c>
      <x:c r="H22" t="str">
        <x:v>PASS</x:v>
      </x:c>
      <x:c r="I22"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AAAGAAGAGAAACGCGTAGAGGAGTGCTTACGTGGGGGGAAAATCATCACGACTCCCCGTATCGAGGATGCTTTGGTAGTGTCAGAGCGCGGCGGTGATTTCAAACTGATCTTGGGACAAGATTTATCAATCGGCTACGAAGACCGTGAGAAAGACGCTGTACGTCTTTTTATCACAGAGACATTTACATTTCAGGTTGTTAATCCGGAGGCTCTTATTTTACTGAAATTCTGA</x:v>
      </x:c>
      <x:c r="J22" t="str">
        <x:v>PV_Q9WZP2_0fe47ba13836</x:v>
      </x:c>
    </x:row>
    <x:row r="23">
      <x:c r="A23" t="str">
        <x:v>S7D pore variant</x:v>
      </x:c>
      <x:c r="B23" t="str">
        <x:v>Thermotoga maritima</x:v>
      </x:c>
      <x:c r="C23" t="str">
        <x:v>Q9WZP2</x:v>
      </x:c>
      <x:c r="D23" t="str">
        <x:v>Q9WZP2_S7D_T1</x:v>
      </x:c>
      <x:c r="E23" t="str">
        <x:v>BLD_Q9WZP2_S7D_T1_builder_design</x:v>
      </x:c>
      <x:c r="F23" t="n">
        <x:v>258</x:v>
      </x:c>
      <x:c r="G23" t="n">
        <x:v>777</x:v>
      </x:c>
      <x:c r="H23" t="str">
        <x:v>PASS</x:v>
      </x:c>
      <x:c r="I23"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GACGATGAGAAACGCGTAGAGGAGTGCTTACGTGGGGGGAAAATCATCACGACTCCCCGTATCGAGGATGCTTTGGTAGTGTCAGAGCGCGGCGGTGATTTCAAACTGATCTTGGGACAAGATTTATCAATCGGCTACGAAGACCGTGAGAAAGACGCTGTACGTCTTTTTATCACAGAGACATTTACATTTCAGGTTGTTAATCCGGAGGCTCTTATTTTACTGAAATTCTGA</x:v>
      </x:c>
      <x:c r="J23" t="str">
        <x:v>PV_Q9WZP2_299ffa750ae5</x:v>
      </x:c>
    </x:row>
    <x:row r="24">
      <x:c r="A24" t="str">
        <x:v>S7G pore-loop deletion variant</x:v>
      </x:c>
      <x:c r="B24" t="str">
        <x:v>Thermotoga maritima</x:v>
      </x:c>
      <x:c r="C24" t="str">
        <x:v>Q9WZP2</x:v>
      </x:c>
      <x:c r="D24" t="str">
        <x:v>Q9WZP2_S7G_T1</x:v>
      </x:c>
      <x:c r="E24" t="str">
        <x:v>BLD_Q9WZP2_S7G_T1_builder_design</x:v>
      </x:c>
      <x:c r="F24" t="n">
        <x:v>258</x:v>
      </x:c>
      <x:c r="G24" t="n">
        <x:v>777</x:v>
      </x:c>
      <x:c r="H24" t="str">
        <x:v>PASS</x:v>
      </x:c>
      <x:c r="I24" s="63" t="str">
        <x:v>ATGGAGTTCCTTAAGCGCTCTTTTGCTCCCCTGACAGAGAAGCAATGGCAAGAAATTGACAACCGTGCGCGTGAAATCTTCAAGACTCAGTTGTATGGACGCAAGTTTGTGGATGTTGAGGGCCCTTACGGTTGGGAATATGCCGCTCACCCTTTGGGAGAAGTCGAAGTCCTTTCAGACGAGAACGAGGTAGTTAAGTGGGGACTTCGCAAATCTCTTCCTCTTATCGAACTTCGTGCGACCTTTACACTGGACCTTTGGGAATTGGACAATCTGGAGCGTGGCAAGCCCAATGTGGATCTGTCCAGTTTGGAAGAGACTGTTCGCAAGGTGGCTGAATTTGAGGACGAAGTTATTTTTCGTGGGTGTGAAAAGAGCGGGGTTAAAGGGCTGCTGTCTTTTGAGGAACGTAAAATCGAGTGCGGTTCCACCCCAAAGGATTTACTTGAAGCAATTGTACGTGCCTTATCCATTTTCAGCAAGGATGGCATTGAAGGGCCGTACACTTTAGTGATTAACACGGATCGTTGGATCAATTTCCTGGGCGGCGAGAAACGCGTAGAGGAGTGCTTACGTGGGGGGAAAATCATCACGACTCCCCGTATCGAGGATGCTTTGGTAGTGTCAGAGCGCGGCGGTGATTTCAAACTGATCTTGGGACAAGATTTATCAATCGGCTACGAAGACCGTGAGAAAGACGCTGTACGTCTTTTTATCACAGAGACATTTACATTTCAGGTTGTTAATCCGGAGGCTCTTATTTTACTGAAATTCTGA</x:v>
      </x:c>
      <x:c r="J24" t="str">
        <x:v>PV_Q9WZP2_507af635f25f</x:v>
      </x:c>
    </x:row>
    <x:row r="25">
      <x:c r="A25" t="str">
        <x:v>Enc</x:v>
      </x:c>
      <x:c r="B25" t="str">
        <x:v>Thermotoga maritima</x:v>
      </x:c>
      <x:c r="C25" t="str">
        <x:v>Q9WZP2</x:v>
      </x:c>
      <x:c r="D25" t="str">
        <x:v>Q9WZP2_T1_empty</x:v>
      </x:c>
      <x:c r="E25" t="str">
        <x:v>BLD_Q9WZP2_T1_empty_builder_design</x:v>
      </x:c>
      <x:c r="F25" t="n">
        <x:v>265</x:v>
      </x:c>
      <x:c r="G25" t="n">
        <x:v>798</x:v>
      </x:c>
      <x:c r="H25" t="str">
        <x:v>PASS</x:v>
      </x:c>
      <x:c r="I25" s="63" t="str">
        <x:v>ATGGAATTTCTGAAAAGATCCTTTGCTCCTCTGACAGAAAAACAGTGGCAGGAGATAGACAACAGAGCAAGAGAGATCTTCAAAACACAGCTCTACGGAAGGAAATTCGTCGATGTGGAAGGTCCCTACGGCTGGGAGTACGCTGCCCATCCACTCGGGGAAGTTGAGGTGCTTTCAGACGAGAACGAAGTGGTGAAGTGGGGATTGAGGAAGTCTCTGCCGCTCATCGAACTGAGGGCAACGTTCACTCTCGATCTGTGGGAACTCGACAACCTCGAGAGAGGAAAACCGAACGTGGATCTTTCCAGCTTAGAAGAAACGGTGAGAAAGGTTGCGGAATTTGAAGACGAAGTGATATTCAGAGGATGTGAAAAATCGGGTGTTAAAGGCCTTCTTTCCTTCGAAGAGAGGAAAATCGAATGTGGAAGCACACCGAAAGACCTCCTCGAAGCCATAGTGAGGGCTCTTTCGATCTTCTCAAAAGATGGTATAGAGGGCCCTTACACACTCGTCATAAACACGGACAGATGGATCAACTTCCTGAAGGAAGAGGCAGGGCATTACCCCCTCGAGAAGAGAGTGGAAGAATGCCTCAGGGGTGGCAAGATCATAACCACACCGAGAATCGAGGATGCCCTCGTCGTTTCTGAGCGTGGAGGGGATTTCAAATTGATCCTTGGACAGGATCTCTCGATAGGGTACGAAGACAGGGAAAAAGACGCGGTGAGGCTTTTCATAACGGAGACGTTCACCTTCCAGGTTGTCAACCCGGAGGCCTTGATTCTTCTAAAGTTCTGA</x:v>
      </x:c>
      <x:c r="J25" t="str">
        <x:v>PV_Q9WZP2_bdc733d75190</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25" hidden="0" customWidth="1"/>
  </x:cols>
  <x:sheetData>
    <x:row r="1" ht="35" customHeight="1">
      <x:c r="A1" s="104" t="str">
        <x:v>TOPIC</x:v>
      </x:c>
      <x:c r="B1" s="104" t="str">
        <x:v>INSTRUCTIONS / POLICY</x:v>
      </x:c>
    </x:row>
    <x:row r="2" ht="47" customHeight="1">
      <x:c r="A2" s="63" t="str">
        <x:v>PURPOSE</x:v>
      </x:c>
      <x:c r="B2" s="63" t="str">
        <x:v>Release-grade, editable scientific source for the GitLab-classic ENCORE Databank with Overview, Builder Filter and Explore Encapsulins. This workbook is the input to the JSON export pipeline.</x:v>
      </x:c>
    </x:row>
    <x:row r="3" ht="47" customHeight="1">
      <x:c r="A3" s="63" t="str">
        <x:v>RELEASE</x:v>
      </x:c>
      <x:c r="B3" s="63" t="str">
        <x:v>16 October 2026 • 74 candidates / 51 assemblies / 56 pores / 74 sequence links / 131 evidence / 24 approved designs. Counts are reference baselines, not promises that future releases remain the same.</x:v>
      </x:c>
    </x:row>
    <x:row r="4" ht="47" customHeight="1">
      <x:c r="A4" s="63" t="str">
        <x:v>START HERE</x:v>
      </x:c>
      <x:c r="B4" s="63" t="str">
        <x:v>Scientific curators edit databank, assemblies, pores, sequence_links, evidence, citation_links, doi_index and builder_catalog. Do not edit generated .json or .js as a replacement for the Excel.</x:v>
      </x:c>
    </x:row>
    <x:row r="5" ht="47" customHeight="1">
      <x:c r="A5" s="63" t="str">
        <x:v>WORKFLOW: 1</x:v>
      </x:c>
      <x:c r="B5" s="63" t="str">
        <x:v>Identify a candidate (UniProt ID) and assembly. Confirm IDs already exist, or add candidate before linked records.</x:v>
      </x:c>
    </x:row>
    <x:row r="6" ht="47" customHeight="1">
      <x:c r="A6" s="63" t="str">
        <x:v>WORKFLOW: 2</x:v>
      </x:c>
      <x:c r="B6" s="63" t="str">
        <x:v>Enter only measured/reported facts. Keep not_reported, not_verified and blanks distinct. Do not replace unknowns with zero or infer scientific measurements.</x:v>
      </x:c>
    </x:row>
    <x:row r="7" ht="47" customHeight="1">
      <x:c r="A7" s="63" t="str">
        <x:v>WORKFLOW: 3</x:v>
      </x:c>
      <x:c r="B7" s="63" t="str">
        <x:v>For protein modifications, edit assemblies columns U:AA: status, change description, comparison assembly, positions in WT reference, original/new residues and numbering caveats.</x:v>
      </x:c>
    </x:row>
    <x:row r="8" ht="47" customHeight="1">
      <x:c r="A8" s="63" t="str">
        <x:v>WORKFLOW: 4</x:v>
      </x:c>
      <x:c r="B8" s="63" t="str">
        <x:v>For papers and PDB data, maintain evidence / source DOI / citation_links / doi_index. One property may come from a study different from the reference assembly.</x:v>
      </x:c>
    </x:row>
    <x:row r="9" ht="47" customHeight="1">
      <x:c r="A9" s="63" t="str">
        <x:v>WORKFLOW: 5</x:v>
      </x:c>
      <x:c r="B9" s="63" t="str">
        <x:v>For Builder-ready options, verify the correct candidate and assembly, coding_DNA_5to3, length, translation QC and unique sequence_id in builder_catalog. Never add non-approved CDS to the filter.</x:v>
      </x:c>
    </x:row>
    <x:row r="10" ht="47" customHeight="1">
      <x:c r="A10" s="63" t="str">
        <x:v>WORKFLOW: 6</x:v>
      </x:c>
      <x:c r="B10" s="63" t="str">
        <x:v>Log any changes and uncertainties in CURATION_LOG. Address unresolved review items in OPEN_REVIEW_ISSUES. Use RELEASE_AUDIT as a count sanity check.</x:v>
      </x:c>
    </x:row>
    <x:row r="11" ht="47" customHeight="1">
      <x:c r="A11" s="63" t="str">
        <x:v>UPDATE COMMAND 1</x:v>
      </x:c>
      <x:c r="B11" s="63" t="str">
        <x:v>py scripts/export-excel-to-json.py --check  (detect changes from the stored site JSON)</x:v>
      </x:c>
    </x:row>
    <x:row r="12" ht="47" customHeight="1">
      <x:c r="A12" s="63" t="str">
        <x:v>UPDATE COMMAND 2</x:v>
      </x:c>
      <x:c r="B12" s="63" t="str">
        <x:v>py scripts/export-excel-to-json.py --write  (validate and write JSON; never silently delete old IDs)</x:v>
      </x:c>
    </x:row>
    <x:row r="13" ht="47" customHeight="1">
      <x:c r="A13" s="63" t="str">
        <x:v>UPDATE COMMAND 3</x:v>
      </x:c>
      <x:c r="B13" s="63" t="str">
        <x:v>node scripts/build-selector-data.mjs  (regenerate selector-data.js and builder-catalog.js)</x:v>
      </x:c>
    </x:row>
    <x:row r="14" ht="47" customHeight="1">
      <x:c r="A14" s="63" t="str">
        <x:v>UPDATE COMMAND 4</x:v>
      </x:c>
      <x:c r="B14" s="63" t="str">
        <x:v>py scripts/export-excel-to-json.py --check  (confirm Excel matches generated JSON)</x:v>
      </x:c>
    </x:row>
    <x:row r="15" ht="47" customHeight="1">
      <x:c r="A15" s="63" t="str">
        <x:v>UPDATE COMMAND 5</x:v>
      </x:c>
      <x:c r="B15" s="63" t="str">
        <x:v>node scripts/test-encore-simplified-ui.cjs  (verify interface behavior)</x:v>
      </x:c>
    </x:row>
    <x:row r="16" ht="47" customHeight="1">
      <x:c r="A16" s="63" t="str">
        <x:v>SCOPE</x:v>
      </x:c>
      <x:c r="B16" s="63" t="str">
        <x:v>Overview HTML / glossary is editorial documentation, not a scientific data sheet. This workbook is the production source for candidates, assemblies, pores, evidence and the 24 Builder designs.</x:v>
      </x:c>
    </x:row>
    <x:row r="17" ht="47" customHeight="1">
      <x:c r="A17" s="63" t="str">
        <x:v>PROVENANCE BOUNDARY</x:v>
      </x:c>
      <x:c r="B17" s="63" t="str">
        <x:v>Modified/unmodified concerns the shell amino-acid sequence relative to curated WT; a different DNA codon set, cargo loading or T-number alone is not evidence of a protein mutation.</x:v>
      </x:c>
    </x:row>
    <x:row r="18" ht="47" customHeight="1">
      <x:c r="A18" s="63" t="str">
        <x:v>SECURITY / INTEGRITY</x:v>
      </x:c>
      <x:c r="B18" s="63" t="str">
        <x:v>Before editing, create a versioned backup. Never use this workbook to assert that Builder CDS matches an unreported historical experimental plasmid.</x:v>
      </x:c>
    </x:row>
    <x:row r="19" ht="47" customHeight="1">
      <x:c r="A19" s="63" t="str">
        <x:v>EXPORT BEHAVIOR</x:v>
      </x:c>
      <x:c r="B19" s="63" t="str">
        <x:v>Only the science sheets recognized by export-excel-to-json.py are converted. This guide, audits and editorial logs are intentionally excluded.</x:v>
      </x:c>
    </x:row>
    <x:row r="21">
      <x:c r="A21" s="63" t="str">
        <x:v>TP CURATION (RESEARCH ONLY)</x:v>
      </x:c>
      <x:c r="B21" s="63" t="str">
        <x:v>The targeting_peptides sheet is not exported to the current Database/Builder Filter and is not approved as a TP selection catalog.</x:v>
      </x:c>
    </x:row>
    <x:row r="22">
      <x:c r="A22" s="63" t="str">
        <x:v>TP scientific checks</x:v>
      </x:c>
      <x:c r="B22" s="63" t="str">
        <x:v>Review precise cargo-relative peptide position, experimental TP evidence, DNA translation and plasmid provenance separately. Keep verdicts and suggested_action visible; unresolved cases must stay unresolved.</x:v>
      </x:c>
    </x:row>
    <x:row r="23">
      <x:c r="A23" s="63" t="str">
        <x:v>TP export boundary</x:v>
      </x:c>
      <x:c r="B23" s="63" t="str">
        <x:v>scripts/export-excel-to-json.py explicitly exports only the supported shell-related datasets. Do not extend its export table to targeting_peptides until a reviewed release enables TPs.</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2" hidden="0" customWidth="1"/>
    <x:col min="3" max="3" width="20" hidden="0" customWidth="1"/>
    <x:col min="4" max="4" width="18" hidden="0" customWidth="1"/>
    <x:col min="5" max="5" width="17" hidden="0" customWidth="1"/>
    <x:col min="6" max="6" width="16" hidden="0" customWidth="1"/>
    <x:col min="7" max="7" width="65" hidden="0" customWidth="1"/>
  </x:cols>
  <x:sheetData>
    <x:row r="1" ht="35" customHeight="1">
      <x:c r="A1" s="104" t="str">
        <x:v>RELEASE METRIC</x:v>
      </x:c>
      <x:c r="B1" s="104" t="str">
        <x:v>SOURCE SHEET</x:v>
      </x:c>
      <x:c r="C1" s="104" t="str">
        <x:v>BASELINE 16/10</x:v>
      </x:c>
      <x:c r="D1" s="104" t="str">
        <x:v>LIVE ROW COUNT</x:v>
      </x:c>
      <x:c r="E1" s="104" t="str">
        <x:v>DIFFERENCE</x:v>
      </x:c>
      <x:c r="F1" s="104" t="str">
        <x:v>STATUS</x:v>
      </x:c>
      <x:c r="G1" s="104" t="str">
        <x:v>INTERPRETATION</x:v>
      </x:c>
    </x:row>
    <x:row r="2" ht="28" customHeight="1">
      <x:c r="A2" s="63" t="str">
        <x:v>Candidates</x:v>
      </x:c>
      <x:c r="B2" s="63" t="str">
        <x:v>databank</x:v>
      </x:c>
      <x:c r="C2" s="63" t="n">
        <x:v>74</x:v>
      </x:c>
      <x:c r="D2" s="63" t="n">
        <x:f>COUNTA(databank!A2:A2000)</x:f>
        <x:v>74</x:v>
      </x:c>
      <x:c r="E2" s="63" t="n">
        <x:f>D2-C2</x:f>
        <x:v>0</x:v>
      </x:c>
      <x:c r="F2" s="63" t="str">
        <x:f>IF(E2=0,"MATCH","REVIEW")</x:f>
        <x:v>MATCH</x:v>
      </x:c>
      <x:c r="G2" s="63" t="str">
        <x:v>UniProt candidate IDs</x:v>
      </x:c>
    </x:row>
    <x:row r="3" ht="28" customHeight="1">
      <x:c r="A3" s="63" t="str">
        <x:v>Assemblies</x:v>
      </x:c>
      <x:c r="B3" s="63" t="str">
        <x:v>assemblies</x:v>
      </x:c>
      <x:c r="C3" s="63" t="n">
        <x:v>51</x:v>
      </x:c>
      <x:c r="D3" s="63" t="n">
        <x:f>COUNTA(assemblies!A2:A2000)</x:f>
        <x:v>51</x:v>
      </x:c>
      <x:c r="E3" s="63" t="n">
        <x:f>D3-C3</x:f>
        <x:v>0</x:v>
      </x:c>
      <x:c r="F3" s="63" t="str">
        <x:f>IF(E3=0,"MATCH","REVIEW")</x:f>
        <x:v>MATCH</x:v>
      </x:c>
      <x:c r="G3" s="63" t="str">
        <x:v>Assembly structural/variant records</x:v>
      </x:c>
    </x:row>
    <x:row r="4" ht="28" customHeight="1">
      <x:c r="A4" s="63" t="str">
        <x:v>Pore observations</x:v>
      </x:c>
      <x:c r="B4" s="63" t="str">
        <x:v>pores</x:v>
      </x:c>
      <x:c r="C4" s="63" t="n">
        <x:v>56</x:v>
      </x:c>
      <x:c r="D4" s="63" t="n">
        <x:f>COUNTA(pores!A2:A2000)</x:f>
        <x:v>56</x:v>
      </x:c>
      <x:c r="E4" s="63" t="n">
        <x:f>D4-C4</x:f>
        <x:v>0</x:v>
      </x:c>
      <x:c r="F4" s="63" t="str">
        <x:f>IF(E4=0,"MATCH","REVIEW")</x:f>
        <x:v>MATCH</x:v>
      </x:c>
      <x:c r="G4" s="63" t="str">
        <x:v>Pore observations linked to assemblies</x:v>
      </x:c>
    </x:row>
    <x:row r="5" ht="28" customHeight="1">
      <x:c r="A5" s="63" t="str">
        <x:v>Sequence links</x:v>
      </x:c>
      <x:c r="B5" s="63" t="str">
        <x:v>sequence_links</x:v>
      </x:c>
      <x:c r="C5" s="63" t="n">
        <x:v>74</x:v>
      </x:c>
      <x:c r="D5" s="63" t="n">
        <x:f>COUNTA(sequence_links!B2:B2000)</x:f>
        <x:v>74</x:v>
      </x:c>
      <x:c r="E5" s="63" t="n">
        <x:f>D5-C5</x:f>
        <x:v>0</x:v>
      </x:c>
      <x:c r="F5" s="63" t="str">
        <x:f>IF(E5=0,"MATCH","REVIEW")</x:f>
        <x:v>MATCH</x:v>
      </x:c>
      <x:c r="G5" s="63" t="str">
        <x:v>Genomic sequence links; NOT Builder CDS</x:v>
      </x:c>
    </x:row>
    <x:row r="6" ht="28" customHeight="1">
      <x:c r="A6" s="63" t="str">
        <x:v>Evidence</x:v>
      </x:c>
      <x:c r="B6" s="63" t="str">
        <x:v>evidence</x:v>
      </x:c>
      <x:c r="C6" s="63" t="n">
        <x:v>131</x:v>
      </x:c>
      <x:c r="D6" s="63" t="n">
        <x:f>COUNTA(evidence!A2:A2000)</x:f>
        <x:v>131</x:v>
      </x:c>
      <x:c r="E6" s="63" t="n">
        <x:f>D6-C6</x:f>
        <x:v>0</x:v>
      </x:c>
      <x:c r="F6" s="63" t="str">
        <x:f>IF(E6=0,"MATCH","REVIEW")</x:f>
        <x:v>MATCH</x:v>
      </x:c>
      <x:c r="G6" s="63" t="str">
        <x:v>Experimental sources / field-level evidence</x:v>
      </x:c>
    </x:row>
    <x:row r="7" ht="28" customHeight="1">
      <x:c r="A7" s="63" t="str">
        <x:v>Citation links</x:v>
      </x:c>
      <x:c r="B7" s="63" t="str">
        <x:v>citation_links</x:v>
      </x:c>
      <x:c r="C7" s="63" t="n">
        <x:v>154</x:v>
      </x:c>
      <x:c r="D7" s="63" t="n">
        <x:f>COUNTA(citation_links!A2:A2000)</x:f>
        <x:v>154</x:v>
      </x:c>
      <x:c r="E7" s="63" t="n">
        <x:f>D7-C7</x:f>
        <x:v>0</x:v>
      </x:c>
      <x:c r="F7" s="63" t="str">
        <x:f>IF(E7=0,"MATCH","REVIEW")</x:f>
        <x:v>MATCH</x:v>
      </x:c>
      <x:c r="G7" s="63" t="str">
        <x:v>Source links for record references</x:v>
      </x:c>
    </x:row>
    <x:row r="8" ht="28" customHeight="1">
      <x:c r="A8" s="63" t="str">
        <x:v>DOI index</x:v>
      </x:c>
      <x:c r="B8" s="63" t="str">
        <x:v>doi_index</x:v>
      </x:c>
      <x:c r="C8" s="63" t="n">
        <x:v>46</x:v>
      </x:c>
      <x:c r="D8" s="63" t="n">
        <x:f>COUNTA(doi_index!A2:A2000)</x:f>
        <x:v>46</x:v>
      </x:c>
      <x:c r="E8" s="63" t="n">
        <x:f>D8-C8</x:f>
        <x:v>0</x:v>
      </x:c>
      <x:c r="F8" s="63" t="str">
        <x:f>IF(E8=0,"MATCH","REVIEW")</x:f>
        <x:v>MATCH</x:v>
      </x:c>
      <x:c r="G8" s="63" t="str">
        <x:v>Indexed publication references</x:v>
      </x:c>
    </x:row>
    <x:row r="9" ht="28" customHeight="1">
      <x:c r="A9" s="63" t="str">
        <x:v>Builder-approved designs</x:v>
      </x:c>
      <x:c r="B9" s="63" t="str">
        <x:v>builder_catalog</x:v>
      </x:c>
      <x:c r="C9" s="63" t="n">
        <x:v>24</x:v>
      </x:c>
      <x:c r="D9" s="63" t="n">
        <x:f>COUNTA(builder_catalog!E2:E2000)</x:f>
        <x:v>24</x:v>
      </x:c>
      <x:c r="E9" s="63" t="n">
        <x:f>D9-C9</x:f>
        <x:v>0</x:v>
      </x:c>
      <x:c r="F9" s="63" t="str">
        <x:f>IF(E9=0,"MATCH","REVIEW")</x:f>
        <x:v>MATCH</x:v>
      </x:c>
      <x:c r="G9" s="63" t="str">
        <x:v>Unique reviewed CDS entries</x:v>
      </x:c>
    </x:row>
    <x:row r="11">
      <x:c r="A11" s="63" t="str">
        <x:v>Targeting peptide curation (research only)</x:v>
      </x:c>
      <x:c r="B11" s="63" t="n">
        <x:f>COUNTA(targeting_peptides!A2:A23)</x:f>
        <x:v>22</x:v>
      </x:c>
      <x:c r="C11" s="63" t="str">
        <x:v>targeting_peptides!A2:A23</x:v>
      </x:c>
      <x:c r="D11" s="63" t="str">
        <x:v>Not exported to public selectors</x:v>
      </x:c>
    </x:row>
    <x:row r="12">
      <x:c r="A12" s="63" t="str">
        <x:v>TPs enabled in Database/Builder Filter</x:v>
      </x:c>
      <x:c r="B12" s="63" t="n">
        <x:v>0</x:v>
      </x:c>
      <x:c r="C12" s="63" t="str">
        <x:v>Explicitly excluded by exporter</x:v>
      </x:c>
      <x:c r="D12" s="63" t="str">
        <x:v>Do not enable before separate review</x:v>
      </x:c>
    </x:row>
  </x:sheetData>
  <x:conditionalFormatting sqref="F2:F9">
    <x:cfRule type="expression" dxfId="0" priority="1">
      <x:formula>$F2="REVIEW"</x:formula>
    </x:cfRule>
    <x:cfRule type="expression" dxfId="1" priority="2">
      <x:formula>$F2="MATCH"</x:formula>
    </x:cfRule>
  </x:conditionalFormatting>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48" hidden="0" customWidth="1"/>
    <x:col min="3" max="3" width="105" hidden="0" customWidth="1"/>
    <x:col min="4" max="4" width="45" hidden="0" customWidth="1"/>
  </x:cols>
  <x:sheetData>
    <x:row r="1" ht="35" customHeight="1">
      <x:c r="A1" s="104" t="str">
        <x:v>SHEET</x:v>
      </x:c>
      <x:c r="B1" s="104" t="str">
        <x:v>KEY / MAIN FIELD</x:v>
      </x:c>
      <x:c r="C1" s="104" t="str">
        <x:v>CURATION RULE</x:v>
      </x:c>
      <x:c r="D1" s="104" t="str">
        <x:v>WHERE IT APPEARS</x:v>
      </x:c>
    </x:row>
    <x:row r="2" ht="32" customHeight="1">
      <x:c r="A2" s="63" t="str">
        <x:v>databank</x:v>
      </x:c>
      <x:c r="B2" s="63" t="str">
        <x:v>candidate_id</x:v>
      </x:c>
      <x:c r="C2" s="63" t="str">
        <x:v>UniProt accession identifies biological candidate; check organism, family and reference assembly.</x:v>
      </x:c>
      <x:c r="D2" s="63" t="str">
        <x:v>Explore: candidate search / labels</x:v>
      </x:c>
    </x:row>
    <x:row r="3" ht="32" customHeight="1">
      <x:c r="A3" s="63" t="str">
        <x:v>assemblies</x:v>
      </x:c>
      <x:c r="B3" s="63" t="str">
        <x:v>assembly_id</x:v>
      </x:c>
      <x:c r="C3" s="63" t="str">
        <x:v>One curated assembly/structural state; preserve symmetry and T-number basis; use N/A for tetrahedral.</x:v>
      </x:c>
      <x:c r="D3" s="63" t="str">
        <x:v>Explore + Builder shell comparisons</x:v>
      </x:c>
    </x:row>
    <x:row r="4" ht="32" customHeight="1">
      <x:c r="A4" s="63" t="str">
        <x:v>assemblies</x:v>
      </x:c>
      <x:c r="B4" s="63" t="str">
        <x:v>shell_sequence_status</x:v>
      </x:c>
      <x:c r="C4" s="63" t="str">
        <x:v>unmodified or modified relative to curated WT protein; not DNA identity.</x:v>
      </x:c>
      <x:c r="D4" s="63" t="str">
        <x:v>Explore: colored modification badge</x:v>
      </x:c>
    </x:row>
    <x:row r="5" ht="32" customHeight="1">
      <x:c r="A5" s="63" t="str">
        <x:v>assemblies</x:v>
      </x:c>
      <x:c r="B5" s="63" t="str">
        <x:v>shell_sequence_change</x:v>
      </x:c>
      <x:c r="C5" s="63" t="str">
        <x:v>Plain-language protein change note with no unsupported sequence claim.</x:v>
      </x:c>
      <x:c r="D5" s="63" t="str">
        <x:v>Explore: mutation description</x:v>
      </x:c>
    </x:row>
    <x:row r="6" ht="32" customHeight="1">
      <x:c r="A6" s="63" t="str">
        <x:v>assemblies</x:v>
      </x:c>
      <x:c r="B6" s="63" t="str">
        <x:v>comparison_reference_assembly_id</x:v>
      </x:c>
      <x:c r="C6" s="63" t="str">
        <x:v>ID of curated WT comparator.</x:v>
      </x:c>
      <x:c r="D6" s="63" t="str">
        <x:v>Explore: reference for modification</x:v>
      </x:c>
    </x:row>
    <x:row r="7" ht="32" customHeight="1">
      <x:c r="A7" s="63" t="str">
        <x:v>assemblies</x:v>
      </x:c>
      <x:c r="B7" s="63" t="str">
        <x:v>shell_change_reference_positions_aa</x:v>
      </x:c>
      <x:c r="C7" s="63" t="str">
        <x:v>1-based amino-acid location on stated WT reference; preserve numbering conflicts.</x:v>
      </x:c>
      <x:c r="D7" s="63" t="str">
        <x:v>Explore: change position</x:v>
      </x:c>
    </x:row>
    <x:row r="8" ht="32" customHeight="1">
      <x:c r="A8" s="63" t="str">
        <x:v>assemblies</x:v>
      </x:c>
      <x:c r="B8" s="63" t="str">
        <x:v>shell_change_original_aa / shell_change_variant_aa</x:v>
      </x:c>
      <x:c r="C8" s="63" t="str">
        <x:v>Exact old/new amino acids only when supported by record; show old in red, new in green.</x:v>
      </x:c>
      <x:c r="D8" s="63" t="str">
        <x:v>Explore: residue differences</x:v>
      </x:c>
    </x:row>
    <x:row r="9" ht="32" customHeight="1">
      <x:c r="A9" s="63" t="str">
        <x:v>assemblies</x:v>
      </x:c>
      <x:c r="B9" s="63" t="str">
        <x:v>shell_change_alignment_note</x:v>
      </x:c>
      <x:c r="C9" s="63" t="str">
        <x:v>Document source numbering, insertions, deletions or ambiguous alignment.</x:v>
      </x:c>
      <x:c r="D9" s="63" t="str">
        <x:v>Explore: scientific note</x:v>
      </x:c>
    </x:row>
    <x:row r="10" ht="32" customHeight="1">
      <x:c r="A10" s="63" t="str">
        <x:v>pores</x:v>
      </x:c>
      <x:c r="B10" s="63" t="str">
        <x:v>pore_record_id</x:v>
      </x:c>
      <x:c r="C10" s="63" t="str">
        <x:v>Do not mix pore states or structure conditions; unknown diameter is blank, not zero.</x:v>
      </x:c>
      <x:c r="D10" s="63" t="str">
        <x:v>Explore: pore details</x:v>
      </x:c>
    </x:row>
    <x:row r="11" ht="32" customHeight="1">
      <x:c r="A11" s="63" t="str">
        <x:v>evidence</x:v>
      </x:c>
      <x:c r="B11" s="63" t="str">
        <x:v>evidence_id / source_doi</x:v>
      </x:c>
      <x:c r="C11" s="63" t="str">
        <x:v>Maintain scientific source link for properties; do not conflate one construct with another.</x:v>
      </x:c>
      <x:c r="D11" s="63" t="str">
        <x:v>Explore: evidence / sources</x:v>
      </x:c>
    </x:row>
    <x:row r="12" ht="32" customHeight="1">
      <x:c r="A12" s="63" t="str">
        <x:v>sequence_links</x:v>
      </x:c>
      <x:c r="B12" s="63" t="str">
        <x:v>sequence_link_id / genomic_sequence</x:v>
      </x:c>
      <x:c r="C12" s="63" t="str">
        <x:v>Genomic 5 prime to 3 prime orientation vs coding strand clearly distinguished in source.</x:v>
      </x:c>
      <x:c r="D12" s="63" t="str">
        <x:v>Explore: genomics</x:v>
      </x:c>
    </x:row>
    <x:row r="13" ht="32" customHeight="1">
      <x:c r="A13" s="63" t="str">
        <x:v>citation_links / doi_index</x:v>
      </x:c>
      <x:c r="B13" s="63" t="str">
        <x:v>source identifiers</x:v>
      </x:c>
      <x:c r="C13" s="63" t="str">
        <x:v>Maintain consistent DOI and publication mapping for referenced experimental data.</x:v>
      </x:c>
      <x:c r="D13" s="63" t="str">
        <x:v>Explore: bibliography</x:v>
      </x:c>
    </x:row>
    <x:row r="14" ht="32" customHeight="1">
      <x:c r="A14" s="63" t="str">
        <x:v>builder_catalog</x:v>
      </x:c>
      <x:c r="B14" s="63" t="str">
        <x:v>sequence_id</x:v>
      </x:c>
      <x:c r="C14" s="63" t="str">
        <x:v>Unique design selection ID for an approved Builder CDS; avoid duplicate CDS choices for two architectures.</x:v>
      </x:c>
      <x:c r="D14" s="63" t="str">
        <x:v>Builder Filter → Builder</x:v>
      </x:c>
    </x:row>
    <x:row r="15" ht="32" customHeight="1">
      <x:c r="A15" s="63" t="str">
        <x:v>builder_catalog</x:v>
      </x:c>
      <x:c r="B15" s="63" t="str">
        <x:v>coding_DNA_5to3 / translation_qc</x:v>
      </x:c>
      <x:c r="C15" s="63" t="str">
        <x:v>Only export validated coding DNA, correct length and passing translation.</x:v>
      </x:c>
      <x:c r="D15" s="63" t="str">
        <x:v>Builder sequence transfer</x:v>
      </x:c>
    </x:row>
    <x:row r="16" ht="32" customHeight="1">
      <x:c r="A16" s="63" t="str">
        <x:v>vocabularies</x:v>
      </x:c>
      <x:c r="B16" s="63" t="str">
        <x:v>allowed values</x:v>
      </x:c>
      <x:c r="C16" s="63" t="str">
        <x:v>Keep dropdown semantics stable; update site vocabularies only with a reviewed schema change.</x:v>
      </x:c>
      <x:c r="D16" s="63" t="str">
        <x:v>Filters / scientific display</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9" hidden="0" customWidth="1"/>
    <x:col min="3" max="3" width="31" hidden="0" customWidth="1"/>
    <x:col min="4" max="4" width="66" hidden="0" customWidth="1"/>
    <x:col min="5" max="5" width="80" hidden="0" customWidth="1"/>
    <x:col min="6" max="6" width="18" hidden="0" customWidth="1"/>
    <x:col min="7" max="7" width="50" hidden="0" customWidth="1"/>
  </x:cols>
  <x:sheetData>
    <x:row r="1" ht="35" customHeight="1">
      <x:c r="A1" s="104" t="str">
        <x:v>ISSUE ID</x:v>
      </x:c>
      <x:c r="B1" s="104" t="str">
        <x:v>SHEET</x:v>
      </x:c>
      <x:c r="C1" s="104" t="str">
        <x:v>LOCATION</x:v>
      </x:c>
      <x:c r="D1" s="104" t="str">
        <x:v>CURRENT STATE</x:v>
      </x:c>
      <x:c r="E1" s="104" t="str">
        <x:v>ACTION / EVIDENCE NEEDED</x:v>
      </x:c>
      <x:c r="F1" s="104" t="str">
        <x:v>STATUS</x:v>
      </x:c>
      <x:c r="G1" s="104" t="str">
        <x:v>CURATOR / NOTES</x:v>
      </x:c>
    </x:row>
    <x:row r="2" ht="48" customHeight="1">
      <x:c r="A2" s="63" t="str">
        <x:v>P-CHARGE-09</x:v>
      </x:c>
      <x:c r="B2" s="63" t="str">
        <x:v>pores</x:v>
      </x:c>
      <x:c r="C2" s="63" t="str">
        <x:v>Excel row 9 · charge_exterior</x:v>
      </x:c>
      <x:c r="D2" s="63" t="str">
        <x:v>Unresolved editorial note; exported as null.</x:v>
      </x:c>
      <x:c r="E2" s="63" t="str">
        <x:v>Review original evidence and select documented charge or leave not reported.</x:v>
      </x:c>
      <x:c r="F2" s="63" t="str">
        <x:v>pending</x:v>
      </x:c>
      <x:c r="G2" s="63" t="str"/>
    </x:row>
    <x:row r="3" ht="48" customHeight="1">
      <x:c r="A3" s="63" t="str">
        <x:v>P-CHARGE-10</x:v>
      </x:c>
      <x:c r="B3" s="63" t="str">
        <x:v>pores</x:v>
      </x:c>
      <x:c r="C3" s="63" t="str">
        <x:v>Excel row 10 · charge_exterior</x:v>
      </x:c>
      <x:c r="D3" s="63" t="str">
        <x:v>Unresolved editorial note; exported as null.</x:v>
      </x:c>
      <x:c r="E3" s="63" t="str">
        <x:v>Review original evidence and select documented charge or leave not reported.</x:v>
      </x:c>
      <x:c r="F3" s="63" t="str">
        <x:v>pending</x:v>
      </x:c>
      <x:c r="G3" s="63" t="str"/>
    </x:row>
    <x:row r="4" ht="48" customHeight="1">
      <x:c r="A4" s="63" t="str">
        <x:v>P-CHARGE-11</x:v>
      </x:c>
      <x:c r="B4" s="63" t="str">
        <x:v>pores</x:v>
      </x:c>
      <x:c r="C4" s="63" t="str">
        <x:v>Excel row 11 · charge_exterior</x:v>
      </x:c>
      <x:c r="D4" s="63" t="str">
        <x:v>Unresolved editorial note; exported as null.</x:v>
      </x:c>
      <x:c r="E4" s="63" t="str">
        <x:v>Review original evidence and select documented charge or leave not reported.</x:v>
      </x:c>
      <x:c r="F4" s="63" t="str">
        <x:v>pending</x:v>
      </x:c>
      <x:c r="G4" s="63" t="str"/>
    </x:row>
    <x:row r="5" ht="48" customHeight="1">
      <x:c r="A5" s="63" t="str">
        <x:v>P-CHARGE-12</x:v>
      </x:c>
      <x:c r="B5" s="63" t="str">
        <x:v>pores</x:v>
      </x:c>
      <x:c r="C5" s="63" t="str">
        <x:v>Excel row 12 · charge_exterior</x:v>
      </x:c>
      <x:c r="D5" s="63" t="str">
        <x:v>Unresolved editorial note; exported as null.</x:v>
      </x:c>
      <x:c r="E5" s="63" t="str">
        <x:v>Review original evidence and select documented charge or leave not reported.</x:v>
      </x:c>
      <x:c r="F5" s="63" t="str">
        <x:v>pending</x:v>
      </x:c>
      <x:c r="G5" s="63" t="str"/>
    </x:row>
  </x:sheetData>
  <x:dataValidations count="1">
    <x:dataValidation type="list" sqref="F2:F150">
      <x:formula1>"pending,in_review,resolved,not_verifiable"</x:formula1>
    </x:dataValidation>
  </x:dataValidations>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5" hidden="0" customWidth="1"/>
    <x:col min="3" max="3" width="19" hidden="0" customWidth="1"/>
    <x:col min="4" max="4" width="29" hidden="0" customWidth="1"/>
    <x:col min="5" max="5" width="30" hidden="0" customWidth="1"/>
    <x:col min="6" max="6" width="32" hidden="0" customWidth="1"/>
    <x:col min="7" max="7" width="32" hidden="0" customWidth="1"/>
    <x:col min="8" max="8" width="40" hidden="0" customWidth="1"/>
    <x:col min="9" max="9" width="65" hidden="0" customWidth="1"/>
  </x:cols>
  <x:sheetData>
    <x:row r="1" ht="35" customHeight="1">
      <x:c r="A1" s="104" t="str">
        <x:v>DATE (YYYY-MM-DD)</x:v>
      </x:c>
      <x:c r="B1" s="104" t="str">
        <x:v>EDITOR</x:v>
      </x:c>
      <x:c r="C1" s="104" t="str">
        <x:v>SHEET</x:v>
      </x:c>
      <x:c r="D1" s="104" t="str">
        <x:v>RECORD ID</x:v>
      </x:c>
      <x:c r="E1" s="104" t="str">
        <x:v>FIELD</x:v>
      </x:c>
      <x:c r="F1" s="104" t="str">
        <x:v>OLD VALUE</x:v>
      </x:c>
      <x:c r="G1" s="104" t="str">
        <x:v>NEW VALUE</x:v>
      </x:c>
      <x:c r="H1" s="104" t="str">
        <x:v>DOI / SOURCE</x:v>
      </x:c>
      <x:c r="I1" s="104" t="str">
        <x:v>REASON &amp; REVIEW</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95" hidden="0" customWidth="1"/>
  </x:cols>
  <x:sheetData>
    <x:row r="1" ht="34" customHeight="1">
      <x:c r="A1" s="107" t="str">
        <x:v>OPEN ENCAPSULIN DATABANK</x:v>
      </x:c>
      <x:c r="B1" s="107" t="str">
        <x:v>Public data release · Reading guide</x:v>
      </x:c>
    </x:row>
    <x:row r="2" ht="37" customHeight="1">
      <x:c r="A2" s="110" t="str">
        <x:v>Release date</x:v>
      </x:c>
      <x:c r="B2" s="111" t="str">
        <x:v>16 October 2026</x:v>
      </x:c>
    </x:row>
    <x:row r="3" ht="37" customHeight="1">
      <x:c r="A3" s="110" t="str">
        <x:v>Purpose</x:v>
      </x:c>
      <x:c r="B3" s="111" t="str">
        <x:v>Downloadable scientific dataset and working curation/audit workbook for the ENCORE Databank. This is the same source used to generate the website data; the website displays a selected subset.</x:v>
      </x:c>
    </x:row>
    <x:row r="4" ht="37" customHeight="1">
      <x:c r="A4" s="110" t="str">
        <x:v>What is included</x:v>
      </x:c>
      <x:c r="B4" s="111" t="str">
        <x:v>74 candidates · 51 assemblies · 56 pore records · 131 evidence records · 24 CDS options approved for the Builder Filter in this release.</x:v>
      </x:c>
    </x:row>
    <x:row r="5" ht="37" customHeight="1">
      <x:c r="A5" s="110" t="str">
        <x:v>Who is it for?</x:v>
      </x:c>
      <x:c r="B5" s="111" t="str">
        <x:v>Readers can inspect the experimental records and citations. Curators can propose verified corrections while keeping the record IDs and audit history intact.</x:v>
      </x:c>
    </x:row>
    <x:row r="6" ht="27" customHeight="1">
      <x:c r="A6" s="114" t="str">
        <x:v>START HERE</x:v>
      </x:c>
      <x:c r="B6" s="115" t="str">
        <x:v>Read the sheets below in order, depending on your goal.</x:v>
      </x:c>
    </x:row>
    <x:row r="7" ht="37" customHeight="1">
      <x:c r="A7" s="110" t="str">
        <x:v>databank</x:v>
      </x:c>
      <x:c r="B7" s="111" t="str">
        <x:v>Start with biological shell candidates. candidate_id is usually a UniProt accession and links other sheets.</x:v>
      </x:c>
    </x:row>
    <x:row r="8" ht="37" customHeight="1">
      <x:c r="A8" s="110" t="str">
        <x:v>assemblies</x:v>
      </x:c>
      <x:c r="B8" s="111" t="str">
        <x:v>Documented shell assemblies, symmetries, sizes, modifications and the positions of changed amino acids. The same protein sequence can have multiple structures.</x:v>
      </x:c>
    </x:row>
    <x:row r="9" ht="37" customHeight="1">
      <x:c r="A9" s="110" t="str">
        <x:v>pores</x:v>
      </x:c>
      <x:c r="B9" s="111" t="str">
        <x:v>Assembly-specific pore observations, states, diameters and charges when reported. Do not generalize a pore from one assembly to another.</x:v>
      </x:c>
    </x:row>
    <x:row r="10" ht="37" customHeight="1">
      <x:c r="A10" s="110" t="str">
        <x:v>sequence_links</x:v>
      </x:c>
      <x:c r="B10" s="111" t="str">
        <x:v>Protein and nucleotide references. Absence of validated CDS is not evidence the sequence does not exist.</x:v>
      </x:c>
    </x:row>
    <x:row r="11" ht="37" customHeight="1">
      <x:c r="A11" s="110" t="str">
        <x:v>builder_catalog</x:v>
      </x:c>
      <x:c r="B11" s="111" t="str">
        <x:v>The 24 reviewed shell CDS choices selectable in the Builder Filter. A CDS for a design is not necessarily identical to an experimental plasmid sequence.</x:v>
      </x:c>
    </x:row>
    <x:row r="12" ht="37" customHeight="1">
      <x:c r="A12" s="110" t="str">
        <x:v>evidence / doi_index</x:v>
      </x:c>
      <x:c r="B12" s="111" t="str">
        <x:v>Experimental evidence and publications; use article DOIs and structure IDs to independently verify reported facts.</x:v>
      </x:c>
    </x:row>
    <x:row r="13" ht="37" customHeight="1">
      <x:c r="A13" s="110" t="str">
        <x:v>citation_links</x:v>
      </x:c>
      <x:c r="B13" s="111" t="str">
        <x:v>Relationships between source papers and candidate, assembly or pore records; these are not property-by-property direct validation.</x:v>
      </x:c>
    </x:row>
    <x:row r="14" ht="37" customHeight="1">
      <x:c r="A14" s="110" t="str">
        <x:v>README / FIELD_GUIDE</x:v>
      </x:c>
      <x:c r="B14" s="111" t="str">
        <x:v>Detailed scientific definitions, field meanings and standard data conventions.</x:v>
      </x:c>
    </x:row>
    <x:row r="15" ht="37" customHeight="1">
      <x:c r="A15" s="110" t="str">
        <x:v>RELEASE_AUDIT</x:v>
      </x:c>
      <x:c r="B15" s="111" t="str">
        <x:v>Baseline and current record counts. A passing count check does not replace paper-level evidence verification.</x:v>
      </x:c>
    </x:row>
    <x:row r="16" ht="37" customHeight="1">
      <x:c r="A16" s="110" t="str">
        <x:v>OPEN_REVIEW_ISSUES</x:v>
      </x:c>
      <x:c r="B16" s="111" t="str">
        <x:v>Known incomplete or unresolved annotations. These are transparent audit notes, not established experimental findings.</x:v>
      </x:c>
    </x:row>
    <x:row r="17" ht="37" customHeight="1">
      <x:c r="A17" s="110" t="str">
        <x:v>CURATION_GUIDE / LOG</x:v>
      </x:c>
      <x:c r="B17" s="111" t="str">
        <x:v>Instructions for editors and a history of corrections. Log every scientific change before publishing a revised release.</x:v>
      </x:c>
    </x:row>
    <x:row r="18" ht="27" customHeight="1">
      <x:c r="A18" s="114" t="str">
        <x:v>HOW TO INTERPRET</x:v>
      </x:c>
      <x:c r="B18" s="115" t="str">
        <x:v>Important distinctions for public reuse.</x:v>
      </x:c>
    </x:row>
    <x:row r="19" ht="37" customHeight="1">
      <x:c r="A19" s="110" t="str">
        <x:v>Wild Type / Engineered</x:v>
      </x:c>
      <x:c r="B19" s="111" t="str">
        <x:v>Wild Type describes the reference shell protein; Engineered means the shell sequence was intentionally changed. Cargo loading alone does not change shell sequence identity.</x:v>
      </x:c>
    </x:row>
    <x:row r="20" ht="37" customHeight="1">
      <x:c r="A20" s="110" t="str">
        <x:v>Unmodified / Modified</x:v>
      </x:c>
      <x:c r="B20" s="111" t="str">
        <x:v>These labels compare shell protein sequence against the stated reference. Where available, amino-acid positions and original/replacement residues appear in assemblies.</x:v>
      </x:c>
    </x:row>
    <x:row r="21" ht="37" customHeight="1">
      <x:c r="A21" s="110" t="str">
        <x:v>T-number</x:v>
      </x:c>
      <x:c r="B21" s="111" t="str">
        <x:v>Describes a reported icosahedral shell architecture, not a DNA or sequence identity. An assembly with tetrahedral symmetry does not have an icosahedral T-number.</x:v>
      </x:c>
    </x:row>
    <x:row r="22" ht="37" customHeight="1">
      <x:c r="A22" s="110" t="str">
        <x:v>Empty / not_reported / not_verified / N/A</x:v>
      </x:c>
      <x:c r="B22" s="111" t="str">
        <x:v>Do not replace any of these with zero. Empty may be uncurated; not_reported is a source reporting state; not_verified is insufficient confirmation; N/A means not applicable.</x:v>
      </x:c>
    </x:row>
    <x:row r="23" ht="37" customHeight="1">
      <x:c r="A23" s="110" t="str">
        <x:v>Evidence limitations</x:v>
      </x:c>
      <x:c r="B23" s="111" t="str">
        <x:v>Some records combine findings across publications. Inspect the assembly, study, construct and provenance before reusing a property for a different sequence.</x:v>
      </x:c>
    </x:row>
    <x:row r="24" ht="27" customHeight="1">
      <x:c r="A24" s="114" t="str">
        <x:v>PUBLIC USE &amp; RELEASE</x:v>
      </x:c>
      <x:c r="B24" s="115" t="str">
        <x:v>Please cite the relevant underlying scientific publications (DOIs in this workbook) and identify the ENCORE release date when reusing extracted data. This workbook itself does not assert a particular reuse license.</x:v>
      </x:c>
    </x:row>
    <x:row r="25" ht="55" customHeight="1">
      <x:c r="A25" s="110" t="str">
        <x:v>UPDATE PIPELINE</x:v>
      </x:c>
      <x:c r="B25" s="111" t="str">
        <x:v>In the project repository: python scripts/export-excel-to-json.py --write ; node scripts/build-selector-data.mjs ; python scripts/export-excel-to-json.py --check. Publish the updated workbook and generated site data together.</x:v>
      </x:c>
    </x:row>
    <x:row r="27" ht="22" customHeight="1">
      <x:c r="A27" s="117" t="str">
        <x:v>TARGETING PEPTIDES — DATASET EXTENSION</x:v>
      </x:c>
      <x:c r="B27" s="117" t="str">
        <x:v>Research records only; not enabled in either filter.</x:v>
      </x:c>
    </x:row>
    <x:row r="28">
      <x:c r="A28" s="63" t="str">
        <x:v>What the sheet contains</x:v>
      </x:c>
      <x:c r="B28" s="63" t="str">
        <x:v>22 TP records, descriptions of source cargo/motifs, article references, sequence checks and curation decisions. Fields A–W are the curated source data; X–AF contain supplementary verification.</x:v>
      </x:c>
    </x:row>
    <x:row r="29">
      <x:c r="A29" s="63" t="str">
        <x:v>What is NOT available</x:v>
      </x:c>
      <x:c r="B29" s="63" t="str">
        <x:v>These entries are not selectable in Builder Filter and are not displayed in Explore Encapsulins. Inclusion in this Excel does not establish cargo-loading compatibility or readiness for DNA construct assembly.</x:v>
      </x:c>
    </x:row>
    <x:row r="30">
      <x:c r="A30" s="63" t="str">
        <x:v>For contributors</x:v>
      </x:c>
      <x:c r="B30" s="63" t="str">
        <x:v>Use review_status, verdict_builder_dna and suggested_action before proposing integration. The reported Q9WZP2 toolkit DNA discrepancy remains pending; no DNA sequence has been silently replaced.</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 hidden="0" customWidth="1"/>
    <x:col min="2" max="2" width="17" hidden="0" customWidth="1"/>
    <x:col min="3" max="3" width="32" hidden="0" customWidth="1"/>
    <x:col min="4" max="4" width="18" hidden="0" customWidth="1"/>
    <x:col min="5" max="5" width="24" hidden="0" customWidth="1"/>
    <x:col min="6" max="6" width="13" hidden="0" customWidth="1"/>
    <x:col min="7" max="7" width="22" hidden="0" customWidth="1"/>
    <x:col min="8" max="8" width="16" hidden="0" customWidth="1"/>
    <x:col min="9" max="9" width="22" hidden="0" customWidth="1"/>
    <x:col min="10" max="10" width="29" hidden="0" customWidth="1"/>
    <x:col min="11" max="11" width="18" hidden="0" customWidth="1"/>
    <x:col min="12" max="12" width="34" hidden="0" customWidth="1"/>
    <x:col min="13" max="13" width="20" hidden="0" customWidth="1"/>
    <x:col min="14" max="14" width="33" hidden="0" customWidth="1"/>
    <x:col min="15" max="15" width="31" hidden="0" customWidth="1"/>
    <x:col min="16" max="16" width="18" hidden="0" customWidth="1"/>
    <x:col min="17" max="17" width="42" hidden="0" customWidth="1"/>
    <x:col min="18" max="18" width="30" hidden="0" customWidth="1"/>
    <x:col min="19" max="19" width="40" hidden="0" customWidth="1"/>
    <x:col min="20" max="20" width="15" hidden="0" customWidth="1"/>
    <x:col min="21" max="21" width="55" hidden="0" customWidth="1"/>
    <x:col min="22" max="22" width="39" hidden="0" customWidth="1"/>
    <x:col min="23" max="23" width="36" hidden="0" customWidth="1"/>
    <x:col min="24" max="24" width="17" hidden="0" customWidth="1"/>
    <x:col min="25" max="25" width="23" hidden="0" customWidth="1"/>
    <x:col min="26" max="26" width="22" hidden="0" customWidth="1"/>
    <x:col min="27" max="27" width="17" hidden="0" customWidth="1"/>
    <x:col min="28" max="28" width="44" hidden="0" customWidth="1"/>
    <x:col min="29" max="29" width="21" hidden="0" customWidth="1"/>
    <x:col min="30" max="30" width="48" hidden="0" customWidth="1"/>
    <x:col min="31" max="31" width="50" hidden="0" customWidth="1"/>
    <x:col min="32" max="32" width="62" hidden="0" customWidth="1"/>
  </x:cols>
  <x:sheetData>
    <x:row r="1" ht="50" customHeight="1">
      <x:c r="A1" s="119" t="str">
        <x:v>tp_id</x:v>
      </x:c>
      <x:c r="B1" s="119" t="str">
        <x:v>candidate_id</x:v>
      </x:c>
      <x:c r="C1" s="119" t="str">
        <x:v>cargo_protein</x:v>
      </x:c>
      <x:c r="D1" s="119" t="str">
        <x:v>cargo_accession</x:v>
      </x:c>
      <x:c r="E1" s="119" t="str">
        <x:v>tp_sequence_aa</x:v>
      </x:c>
      <x:c r="F1" s="119" t="str">
        <x:v>tp_length_aa</x:v>
      </x:c>
      <x:c r="G1" s="119" t="str">
        <x:v>tp_core_motif_aa</x:v>
      </x:c>
      <x:c r="H1" s="119" t="str">
        <x:v>cargo_terminus</x:v>
      </x:c>
      <x:c r="I1" s="119" t="str">
        <x:v>cargo_residue_range</x:v>
      </x:c>
      <x:c r="J1" s="119" t="str">
        <x:v>sequence_scope</x:v>
      </x:c>
      <x:c r="K1" s="119" t="str">
        <x:v>tp_origin</x:v>
      </x:c>
      <x:c r="L1" s="119" t="str">
        <x:v>validation_evidence</x:v>
      </x:c>
      <x:c r="M1" s="119" t="str">
        <x:v>builder_part_id</x:v>
      </x:c>
      <x:c r="N1" s="119" t="str">
        <x:v>builder_dna_5to3</x:v>
      </x:c>
      <x:c r="O1" s="119" t="str">
        <x:v>builder_use_status</x:v>
      </x:c>
      <x:c r="P1" s="119" t="str">
        <x:v>review_status</x:v>
      </x:c>
      <x:c r="Q1" s="119" t="str">
        <x:v>source</x:v>
      </x:c>
      <x:c r="R1" s="119" t="str">
        <x:v>source_doi</x:v>
      </x:c>
      <x:c r="S1" s="119" t="str">
        <x:v>source_url</x:v>
      </x:c>
      <x:c r="T1" s="119" t="str">
        <x:v>structure_id</x:v>
      </x:c>
      <x:c r="U1" s="119" t="str">
        <x:v>notes</x:v>
      </x:c>
      <x:c r="V1" s="119" t="str">
        <x:v>review_action</x:v>
      </x:c>
      <x:c r="W1" s="119" t="str">
        <x:v>source_locator</x:v>
      </x:c>
      <x:c r="X1" s="123" t="str">
        <x:v>check_length</x:v>
      </x:c>
      <x:c r="Y1" s="123" t="str">
        <x:v>check_motif_in_sequence</x:v>
      </x:c>
      <x:c r="Z1" s="123" t="str">
        <x:v>checked_cargo_accession</x:v>
      </x:c>
      <x:c r="AA1" s="123" t="str">
        <x:v>checked_cargo_length_aa</x:v>
      </x:c>
      <x:c r="AB1" s="123" t="str">
        <x:v>checked_cargo_C_terminal_tail</x:v>
      </x:c>
      <x:c r="AC1" s="123" t="str">
        <x:v>peptide_position_in_cargo</x:v>
      </x:c>
      <x:c r="AD1" s="123" t="str">
        <x:v>verdict_vs_cargo</x:v>
      </x:c>
      <x:c r="AE1" s="123" t="str">
        <x:v>verdict_builder_dna</x:v>
      </x:c>
      <x:c r="AF1" s="123" t="str">
        <x:v>suggested_action</x:v>
      </x:c>
    </x:row>
    <x:row r="2" ht="26" customHeight="1">
      <x:c r="A2" s="63" t="str">
        <x:v>Q1D6H4_EncB_C11</x:v>
      </x:c>
      <x:c r="B2" s="63" t="str">
        <x:v>Q1D6H4</x:v>
      </x:c>
      <x:c r="C2" s="63" t="str">
        <x:v>EncB (ferritin-like cargo)</x:v>
      </x:c>
      <x:c r="D2" s="63"/>
      <x:c r="E2" s="63" t="str">
        <x:v>SHPLTVGSLRR</x:v>
      </x:c>
      <x:c r="F2" s="63" t="n">
        <x:v>11</x:v>
      </x:c>
      <x:c r="G2" s="63" t="str">
        <x:v>LTVGSLRR</x:v>
      </x:c>
      <x:c r="H2" s="63" t="str">
        <x:v>C_terminal</x:v>
      </x:c>
      <x:c r="I2" s="63"/>
      <x:c r="J2" s="63" t="str">
        <x:v>native_C_terminal_TP</x:v>
      </x:c>
      <x:c r="K2" s="63" t="str">
        <x:v>native</x:v>
      </x:c>
      <x:c r="L2" s="63" t="str">
        <x:v>native_cargo_binding;structural_TP</x:v>
      </x:c>
      <x:c r="M2" s="63"/>
      <x:c r="N2" s="63"/>
      <x:c r="O2" s="63" t="str">
        <x:v>research_reference</x:v>
      </x:c>
      <x:c r="P2" s="63" t="str">
        <x:v>verified</x:v>
      </x:c>
      <x:c r="Q2" s="63" t="str">
        <x:v>McHugh et al. 2014; Jones et al. 2024</x:v>
      </x:c>
      <x:c r="R2" s="63" t="str">
        <x:v>10.15252/embj.201488566; 10.1038/s41467-024-46880-x</x:v>
      </x:c>
      <x:c r="S2" s="63" t="str">
        <x:v>https://doi.org/10.1038/s41467-024-46880-x</x:v>
      </x:c>
      <x:c r="T2" s="63" t="str">
        <x:v>4PT2</x:v>
      </x:c>
      <x:c r="U2" s="63" t="str">
        <x:v>Exact native EncB peptide quoted as SHPLTVGSLRR in Jones et al. 2024. Does not assert standalone heterologous use of the 11-aa sequence.</x:v>
      </x:c>
      <x:c r="V2" s="63"/>
      <x:c r="W2" s="63"/>
      <x:c r="X2" s="125" t="str">
        <x:f>IF(E2="","",IF(LEN(E2)=F2,"ok","MISMATCH"))</x:f>
        <x:v>ok</x:v>
      </x:c>
      <x:c r="Y2" s="125" t="str">
        <x:f>IF(OR(E2="",G2=""),"",IF(ISNUMBER(SEARCH(G2,E2)),"ok","NOT CONTAINED"))</x:f>
        <x:v>ok</x:v>
      </x:c>
      <x:c r="Z2" s="125" t="str">
        <x:v>Q1D6H3</x:v>
      </x:c>
      <x:c r="AA2" s="125" t="n">
        <x:v>158</x:v>
      </x:c>
      <x:c r="AB2" s="125" t="str">
        <x:v>TSLPPQRLLYGLPAPPPAVESHPLTVGSLRRGGGGSGSGR</x:v>
      </x:c>
      <x:c r="AC2" s="125" t="str">
        <x:v>139-149 of 158</x:v>
      </x:c>
      <x:c r="AD2" s="125" t="str">
        <x:v>Real motif, but 9 residue(s) follow it in the cargo</x:v>
      </x:c>
      <x:c r="AE2" s="125"/>
      <x:c r="AF2" s="125" t="str">
        <x:v>cargo_terminus says C_terminal, but EncB continues for 9 more residues (GGGGSGSGR). Consider sequence_scope = internal binding motif, and check whether that Gly/Ser tail is genuine or an artefact.</x:v>
      </x:c>
    </x:row>
    <x:row r="3" ht="26" customHeight="1">
      <x:c r="A3" s="63" t="str">
        <x:v>Q1D6H4_EncC_C12</x:v>
      </x:c>
      <x:c r="B3" s="63" t="str">
        <x:v>Q1D6H4</x:v>
      </x:c>
      <x:c r="C3" s="63" t="str">
        <x:v>EncC (ferritin-like cargo)</x:v>
      </x:c>
      <x:c r="D3" s="63"/>
      <x:c r="E3" s="63" t="str">
        <x:v>PEKRLTVGSLRR</x:v>
      </x:c>
      <x:c r="F3" s="63" t="n">
        <x:v>12</x:v>
      </x:c>
      <x:c r="G3" s="63" t="str">
        <x:v>LTVGSLRR</x:v>
      </x:c>
      <x:c r="H3" s="63" t="str">
        <x:v>C_terminal</x:v>
      </x:c>
      <x:c r="I3" s="63"/>
      <x:c r="J3" s="63" t="str">
        <x:v>full_reported_TP_construct</x:v>
      </x:c>
      <x:c r="K3" s="63" t="str">
        <x:v>native_derived</x:v>
      </x:c>
      <x:c r="L3" s="63" t="str">
        <x:v>heterologous_loading_experiment</x:v>
      </x:c>
      <x:c r="M3" s="63"/>
      <x:c r="N3" s="63"/>
      <x:c r="O3" s="63" t="str">
        <x:v>research_reference</x:v>
      </x:c>
      <x:c r="P3" s="63" t="str">
        <x:v>verified</x:v>
      </x:c>
      <x:c r="Q3" s="63" t="str">
        <x:v>Kwon et al. 2023, molecular cloning/Table S1</x:v>
      </x:c>
      <x:c r="R3" s="63" t="str">
        <x:v>10.1016/j.jsb.2023.108022</x:v>
      </x:c>
      <x:c r="S3" s="63" t="str">
        <x:v>https://doi.org/10.1016/j.jsb.2023.108022</x:v>
      </x:c>
      <x:c r="T3" s="63" t="str">
        <x:v>8TK7</x:v>
      </x:c>
      <x:c r="U3" s="63" t="str">
        <x:v>Experimentally fused to SNAP-tag C-terminus via GGGSGGGS linker. Tested construction is cargo–linker–PEKRLTVGSLRR, not merely the 8-aa core.</x:v>
      </x:c>
      <x:c r="V3" s="63"/>
      <x:c r="W3" s="63"/>
      <x:c r="X3" s="125" t="str">
        <x:f>IF(E3="","",IF(LEN(E3)=F3,"ok","MISMATCH"))</x:f>
        <x:v>ok</x:v>
      </x:c>
      <x:c r="Y3" s="125" t="str">
        <x:f>IF(OR(E3="",G3=""),"",IF(ISNUMBER(SEARCH(G3,E3)),"ok","NOT CONTAINED"))</x:f>
        <x:v>ok</x:v>
      </x:c>
      <x:c r="Z3" s="125" t="str">
        <x:v>Q1D3Y8</x:v>
      </x:c>
      <x:c r="AA3" s="125" t="n">
        <x:v>130</x:v>
      </x:c>
      <x:c r="AB3" s="125" t="str">
        <x:v>APSPADVTPEKRLTVGSLRR</x:v>
      </x:c>
      <x:c r="AC3" s="125" t="str">
        <x:v>119-130 of 130</x:v>
      </x:c>
      <x:c r="AD3" s="125" t="str">
        <x:v>Exact C terminus of the cargo</x:v>
      </x:c>
      <x:c r="AE3" s="125"/>
      <x:c r="AF3" s="125"/>
    </x:row>
    <x:row r="4" ht="26" customHeight="1">
      <x:c r="A4" s="63" t="str">
        <x:v>Q1D6H4_EncD_C8</x:v>
      </x:c>
      <x:c r="B4" s="63" t="str">
        <x:v>Q1D6H4</x:v>
      </x:c>
      <x:c r="C4" s="63" t="str">
        <x:v>EncD (flavin-binding ferric reductase)</x:v>
      </x:c>
      <x:c r="D4" s="63"/>
      <x:c r="E4" s="63" t="str">
        <x:v>LTVGSLRG</x:v>
      </x:c>
      <x:c r="F4" s="63" t="n">
        <x:v>8</x:v>
      </x:c>
      <x:c r="G4" s="63" t="str">
        <x:v>LTVGSLR</x:v>
      </x:c>
      <x:c r="H4" s="63" t="str">
        <x:v>C_terminal</x:v>
      </x:c>
      <x:c r="I4" s="63"/>
      <x:c r="J4" s="63" t="str">
        <x:v>native_terminal_motif</x:v>
      </x:c>
      <x:c r="K4" s="63" t="str">
        <x:v>native</x:v>
      </x:c>
      <x:c r="L4" s="63" t="str">
        <x:v>native_cargo_binding;structural_TP</x:v>
      </x:c>
      <x:c r="M4" s="63"/>
      <x:c r="N4" s="63"/>
      <x:c r="O4" s="63" t="str">
        <x:v>research_reference</x:v>
      </x:c>
      <x:c r="P4" s="63" t="str">
        <x:v>verified</x:v>
      </x:c>
      <x:c r="Q4" s="63" t="str">
        <x:v>Eren et al. 2022; Jones et al. 2024</x:v>
      </x:c>
      <x:c r="R4" s="63" t="str">
        <x:v>10.1016/j.str.2022.01.008; 10.1073/pnas.2400426121</x:v>
      </x:c>
      <x:c r="S4" s="63" t="str">
        <x:v>https://doi.org/10.1073/pnas.2400426121</x:v>
      </x:c>
      <x:c r="T4" s="63"/>
      <x:c r="U4" s="63" t="str">
        <x:v>EncD differs from EncB/EncC at the terminal residue (G versus R). Natively associated TP, not established here as independent cargo fusion.</x:v>
      </x:c>
      <x:c r="V4" s="63"/>
      <x:c r="W4" s="63"/>
      <x:c r="X4" s="125" t="str">
        <x:f>IF(E4="","",IF(LEN(E4)=F4,"ok","MISMATCH"))</x:f>
        <x:v>ok</x:v>
      </x:c>
      <x:c r="Y4" s="125" t="str">
        <x:f>IF(OR(E4="",G4=""),"",IF(ISNUMBER(SEARCH(G4,E4)),"ok","NOT CONTAINED"))</x:f>
        <x:v>ok</x:v>
      </x:c>
      <x:c r="Z4" s="125" t="str">
        <x:v>Q1D9P3</x:v>
      </x:c>
      <x:c r="AA4" s="125" t="n">
        <x:v>109</x:v>
      </x:c>
      <x:c r="AB4" s="125" t="str">
        <x:v>LHEAAPFATGLTVGSLRGSR</x:v>
      </x:c>
      <x:c r="AC4" s="125" t="str">
        <x:v>100-107 of 109</x:v>
      </x:c>
      <x:c r="AD4" s="125" t="str">
        <x:v>Real motif, but 2 residue(s) follow it in the cargo</x:v>
      </x:c>
      <x:c r="AE4" s="125"/>
      <x:c r="AF4" s="125" t="str">
        <x:v>Real motif, but EncD ends LTVGSLRGSR: two residues follow.</x:v>
      </x:c>
    </x:row>
    <x:row r="5" ht="26" customHeight="1">
      <x:c r="A5" s="63" t="str">
        <x:v>Q1D6H4_TOOLKIT_MX</x:v>
      </x:c>
      <x:c r="B5" s="63" t="str">
        <x:v>Q1D6H4</x:v>
      </x:c>
      <x:c r="C5" s="63" t="str">
        <x:v>Toolkit TP-Mx (EncB/EncC-like motif)</x:v>
      </x:c>
      <x:c r="D5" s="63"/>
      <x:c r="E5" s="63" t="str">
        <x:v>LTVGSLRR</x:v>
      </x:c>
      <x:c r="F5" s="63" t="n">
        <x:v>8</x:v>
      </x:c>
      <x:c r="G5" s="63" t="str">
        <x:v>LTVGSLRR</x:v>
      </x:c>
      <x:c r="H5" s="63" t="str">
        <x:v>C_terminal</x:v>
      </x:c>
      <x:c r="I5" s="63"/>
      <x:c r="J5" s="63" t="str">
        <x:v>toolkit_insert_exact</x:v>
      </x:c>
      <x:c r="K5" s="63" t="str">
        <x:v>toolkit</x:v>
      </x:c>
      <x:c r="L5" s="63" t="str">
        <x:v>heterologous_loading_experiment;toolkit_plasmid_sequence</x:v>
      </x:c>
      <x:c r="M5" s="63" t="str">
        <x:v>tp-TP-Mx</x:v>
      </x:c>
      <x:c r="N5" s="63" t="str">
        <x:v>CTTACCGTGGGCAGCTTGAGGCGC</x:v>
      </x:c>
      <x:c r="O5" s="63" t="str">
        <x:v>existing_toolkit_peptide_validated</x:v>
      </x:c>
      <x:c r="P5" s="63" t="str">
        <x:v>verified</x:v>
      </x:c>
      <x:c r="Q5" s="63" t="str">
        <x:v>ENCORE Builder tp-TP-Mx.json; Sigmund et al. 2018, Methods</x:v>
      </x:c>
      <x:c r="R5" s="63" t="str">
        <x:v>10.1038/s41467-018-04227-3</x:v>
      </x:c>
      <x:c r="S5" s="63" t="str">
        <x:v>https://doi.org/10.1038/s41467-018-04227-3</x:v>
      </x:c>
      <x:c r="T5" s="63"/>
      <x:c r="U5" s="63" t="str">
        <x:v>Toolkit insert translates to LTVGSLRR. Sigmund et al. 2018 used this exact 8-aa EncSig appended to heterologous fluorescent cargo through 2xGGGGS. Demonstrates the peptide, not independent validation of the local toolkit plasmid.</x:v>
      </x:c>
      <x:c r="V5" s="63"/>
      <x:c r="W5" s="63"/>
      <x:c r="X5" s="125" t="str">
        <x:f>IF(E5="","",IF(LEN(E5)=F5,"ok","MISMATCH"))</x:f>
        <x:v>ok</x:v>
      </x:c>
      <x:c r="Y5" s="125" t="str">
        <x:f>IF(OR(E5="",G5=""),"",IF(ISNUMBER(SEARCH(G5,E5)),"ok","NOT CONTAINED"))</x:f>
        <x:v>ok</x:v>
      </x:c>
      <x:c r="Z5" s="125" t="str">
        <x:v>Q1D6H3</x:v>
      </x:c>
      <x:c r="AA5" s="125" t="n">
        <x:v>158</x:v>
      </x:c>
      <x:c r="AB5" s="125" t="str">
        <x:v>TSLPPQRLLYGLPAPPPAVESHPLTVGSLRRGGGGSGSGR</x:v>
      </x:c>
      <x:c r="AC5" s="125" t="str">
        <x:v>142-149 of 158</x:v>
      </x:c>
      <x:c r="AD5" s="125" t="str">
        <x:v>Real motif, but 9 residue(s) follow it in the cargo</x:v>
      </x:c>
      <x:c r="AE5" s="125" t="str">
        <x:v>OK - 24 nt translate to LTVGSLRR, identical to tp-TP-Mx.json</x:v>
      </x:c>
      <x:c r="AF5" s="125"/>
    </x:row>
    <x:row r="6" ht="26" customHeight="1">
      <x:c r="A6" s="63" t="str">
        <x:v>Q9WZP2_FLP_C8</x:v>
      </x:c>
      <x:c r="B6" s="63" t="str">
        <x:v>Q9WZP2</x:v>
      </x:c>
      <x:c r="C6" s="63" t="str">
        <x:v>Encapsulated ferritin-like protein (FLP)</x:v>
      </x:c>
      <x:c r="D6" s="63" t="str">
        <x:v>Q9WZP3</x:v>
      </x:c>
      <x:c r="E6" s="63" t="str">
        <x:v>GGDLGIRK</x:v>
      </x:c>
      <x:c r="F6" s="63" t="n">
        <x:v>8</x:v>
      </x:c>
      <x:c r="G6" s="63" t="str">
        <x:v>GGDLGIRK</x:v>
      </x:c>
      <x:c r="H6" s="63" t="str">
        <x:v>C_terminal</x:v>
      </x:c>
      <x:c r="I6" s="63"/>
      <x:c r="J6" s="63" t="str">
        <x:v>structure_resolved_binding_motif</x:v>
      </x:c>
      <x:c r="K6" s="63" t="str">
        <x:v>native</x:v>
      </x:c>
      <x:c r="L6" s="63" t="str">
        <x:v>structural_TP;native_cargo_loading</x:v>
      </x:c>
      <x:c r="M6" s="63"/>
      <x:c r="N6" s="63"/>
      <x:c r="O6" s="63" t="str">
        <x:v>research_reference</x:v>
      </x:c>
      <x:c r="P6" s="63" t="str">
        <x:v>verified</x:v>
      </x:c>
      <x:c r="Q6" s="63" t="str">
        <x:v>Sutter et al. 2008; Jones et al. 2024</x:v>
      </x:c>
      <x:c r="R6" s="63" t="str">
        <x:v>10.1038/nsmb.1473; 10.1038/s41467-024-46880-x</x:v>
      </x:c>
      <x:c r="S6" s="63" t="str">
        <x:v>https://doi.org/10.1038/s41467-024-46880-x</x:v>
      </x:c>
      <x:c r="T6" s="63" t="str">
        <x:v>3DKT</x:v>
      </x:c>
      <x:c r="U6" s="63" t="str">
        <x:v>GGDLGIRK is the structurally characterized motif. Do not assume it is the full native C-terminal tail or the exact construct sequence for the Builder.</x:v>
      </x:c>
      <x:c r="V6" s="63"/>
      <x:c r="W6" s="63"/>
      <x:c r="X6" s="125" t="str">
        <x:f>IF(E6="","",IF(LEN(E6)=F6,"ok","MISMATCH"))</x:f>
        <x:v>ok</x:v>
      </x:c>
      <x:c r="Y6" s="125" t="str">
        <x:f>IF(OR(E6="",G6=""),"",IF(ISNUMBER(SEARCH(G6,E6)),"ok","NOT CONTAINED"))</x:f>
        <x:v>ok</x:v>
      </x:c>
      <x:c r="Z6" s="125" t="str">
        <x:v>Q9WZP3</x:v>
      </x:c>
      <x:c r="AA6" s="125" t="n">
        <x:v>114</x:v>
      </x:c>
      <x:c r="AB6" s="125" t="str">
        <x:v>LFTDKPITEIEEETSGGSENTGGDLGIRKL</x:v>
      </x:c>
      <x:c r="AC6" s="125" t="str">
        <x:v>106-113 of 114</x:v>
      </x:c>
      <x:c r="AD6" s="125" t="str">
        <x:v>Real motif, but 1 residue(s) follow it in the cargo</x:v>
      </x:c>
      <x:c r="AE6" s="125"/>
      <x:c r="AF6" s="125" t="str">
        <x:v>Real motif, but one residue (L) follows it in the cargo.</x:v>
      </x:c>
    </x:row>
    <x:row r="7" ht="26" customHeight="1">
      <x:c r="A7" s="63" t="str">
        <x:v>Q9WZP2_TOOLKIT_TM</x:v>
      </x:c>
      <x:c r="B7" s="63" t="str">
        <x:v>Q9WZP2</x:v>
      </x:c>
      <x:c r="C7" s="63" t="str">
        <x:v>Toolkit TP-Tm</x:v>
      </x:c>
      <x:c r="D7" s="63"/>
      <x:c r="E7" s="63" t="str">
        <x:v>GGIWAFGS</x:v>
      </x:c>
      <x:c r="F7" s="63" t="n">
        <x:v>8</x:v>
      </x:c>
      <x:c r="G7" s="63"/>
      <x:c r="H7" s="63" t="str">
        <x:v>C_terminal</x:v>
      </x:c>
      <x:c r="I7" s="63"/>
      <x:c r="J7" s="63" t="str">
        <x:v>toolkit_insert_exact</x:v>
      </x:c>
      <x:c r="K7" s="63" t="str">
        <x:v>toolkit</x:v>
      </x:c>
      <x:c r="L7" s="63" t="str">
        <x:v>toolkit_plasmid_sequence</x:v>
      </x:c>
      <x:c r="M7" s="63" t="str">
        <x:v>tp-TP-Tm</x:v>
      </x:c>
      <x:c r="N7" s="63" t="str">
        <x:v>GGGGGGATCTGGGCATTCGGAAGC</x:v>
      </x:c>
      <x:c r="O7" s="63" t="str">
        <x:v>existing_toolkit_review</x:v>
      </x:c>
      <x:c r="P7" s="63" t="str">
        <x:v>review_required</x:v>
      </x:c>
      <x:c r="Q7" s="63" t="str">
        <x:v>ENCORE Builder tp-TP-Tm.json; Sutter et al. 2008</x:v>
      </x:c>
      <x:c r="R7" s="63" t="str">
        <x:v>10.1038/nsmb.1473</x:v>
      </x:c>
      <x:c r="S7" s="63" t="str">
        <x:v>https://doi.org/10.1038/nsmb.1473</x:v>
      </x:c>
      <x:c r="T7" s="63"/>
      <x:c r="U7" s="63" t="str">
        <x:v>Toolkit insert translates to GGIWAFGS, which differs from published natural FLP binding motif GGDLGIRK. Confirm design rationale and experimental compatibility before labeling as validated.</x:v>
      </x:c>
      <x:c r="V7" s="63" t="str">
        <x:v>Reconcile toolkit insert with natural FLP sequence</x:v>
      </x:c>
      <x:c r="W7" s="63" t="str">
        <x:v>ENCORE tp-TP-Tm.json vs Sutter (2008)</x:v>
      </x:c>
      <x:c r="X7" s="125" t="str">
        <x:f>IF(E7="","",IF(LEN(E7)=F7,"ok","MISMATCH"))</x:f>
        <x:v>ok</x:v>
      </x:c>
      <x:c r="Y7" s="125" t="str">
        <x:f>IF(OR(E7="",G7=""),"",IF(ISNUMBER(SEARCH(G7,E7)),"ok","NOT CONTAINED"))</x:f>
      </x:c>
      <x:c r="Z7" s="125" t="str">
        <x:v>Q9WZP3</x:v>
      </x:c>
      <x:c r="AA7" s="125" t="n">
        <x:v>114</x:v>
      </x:c>
      <x:c r="AB7" s="125" t="str">
        <x:v>LFTDKPITEIEEETSGGSENTGGDLGIRKL</x:v>
      </x:c>
      <x:c r="AC7" s="125" t="str">
        <x:v>not found</x:v>
      </x:c>
      <x:c r="AD7" s="125" t="str">
        <x:v>NOT present at the cargo C terminus</x:v>
      </x:c>
      <x:c r="AE7" s="125" t="str">
        <x:v>FRAME SHIFT - the 24 nt translate to GGIWAFGS, a peptide absent from the cargo. The plasmid sequence quoted in tp-TP-Tm.json, GGGGGGGATCTGGGCATTCGGAAGCTG (27 nt), translates to GGDLGIRKL, the exact C-terminal 9 of Q9WZP3. The 24 nt insert is that sequence missing one G at the 5' end and TG at the 3' end, which shifts the frame.</x:v>
      </x:c>
      <x:c r="AF7" s="125" t="str">
        <x:v>Replace builder_dna_5to3 and tp-TP-Tm.json sequence with GGGGGGGATCTGGGCATTCGGAAGCTG (27 nt), set length_bp to 27, and set tp_sequence_aa to GGDLGIRKL. Also re-check plasmid Lvl0.5_a_026, whose 28 nt are not a multiple of three.</x:v>
      </x:c>
    </x:row>
    <x:row r="8" ht="26" customHeight="1">
      <x:c r="A8" s="63" t="str">
        <x:v>A0A0F5HPP7_IMEF_C7</x:v>
      </x:c>
      <x:c r="B8" s="63" t="str">
        <x:v>A0A0F5HPP7</x:v>
      </x:c>
      <x:c r="C8" s="63" t="str">
        <x:v>IMEF ferroxidase cargo</x:v>
      </x:c>
      <x:c r="D8" s="63"/>
      <x:c r="E8" s="63" t="str">
        <x:v>TVGSLIQ</x:v>
      </x:c>
      <x:c r="F8" s="63" t="n">
        <x:v>7</x:v>
      </x:c>
      <x:c r="G8" s="63" t="str">
        <x:v>TVGSL</x:v>
      </x:c>
      <x:c r="H8" s="63" t="str">
        <x:v>C_terminal</x:v>
      </x:c>
      <x:c r="I8" s="63"/>
      <x:c r="J8" s="63" t="str">
        <x:v>structure_resolved_binding_motif</x:v>
      </x:c>
      <x:c r="K8" s="63" t="str">
        <x:v>native</x:v>
      </x:c>
      <x:c r="L8" s="63" t="str">
        <x:v>structural_TP;native_cargo_loading</x:v>
      </x:c>
      <x:c r="M8" s="63"/>
      <x:c r="N8" s="63"/>
      <x:c r="O8" s="63" t="str">
        <x:v>research_reference</x:v>
      </x:c>
      <x:c r="P8" s="63" t="str">
        <x:v>verified</x:v>
      </x:c>
      <x:c r="Q8" s="63" t="str">
        <x:v>Giessen et al. 2019, bound TP structure</x:v>
      </x:c>
      <x:c r="R8" s="63" t="str">
        <x:v>10.7554/eLife.46070</x:v>
      </x:c>
      <x:c r="S8" s="63" t="str">
        <x:v>https://doi.org/10.7554/eLife.46070</x:v>
      </x:c>
      <x:c r="T8" s="63" t="str">
        <x:v>6NJ8</x:v>
      </x:c>
      <x:c r="U8" s="63" t="str">
        <x:v>Seven native IMEF TP residues resolved in the shell-bound structure; not necessarily the complete native C-terminal extension.</x:v>
      </x:c>
      <x:c r="V8" s="63"/>
      <x:c r="W8" s="63"/>
      <x:c r="X8" s="125" t="str">
        <x:f>IF(E8="","",IF(LEN(E8)=F8,"ok","MISMATCH"))</x:f>
        <x:v>ok</x:v>
      </x:c>
      <x:c r="Y8" s="125" t="str">
        <x:f>IF(OR(E8="",G8=""),"",IF(ISNUMBER(SEARCH(G8,E8)),"ok","NOT CONTAINED"))</x:f>
        <x:v>ok</x:v>
      </x:c>
      <x:c r="Z8" s="125" t="str">
        <x:v>A0A0F5HNH9</x:v>
      </x:c>
      <x:c r="AA8" s="125" t="n">
        <x:v>192</x:v>
      </x:c>
      <x:c r="AB8" s="125" t="str">
        <x:v>EEVQPVAHKKKGFTVGSLIQ</x:v>
      </x:c>
      <x:c r="AC8" s="125" t="str">
        <x:v>186-192 of 192</x:v>
      </x:c>
      <x:c r="AD8" s="125" t="str">
        <x:v>Exact C terminus of the cargo</x:v>
      </x:c>
      <x:c r="AE8" s="125"/>
      <x:c r="AF8" s="125"/>
    </x:row>
    <x:row r="9" ht="26" customHeight="1">
      <x:c r="A9" s="63" t="str">
        <x:v>A0A0F5HPP7_TOOLKIT_QT</x:v>
      </x:c>
      <x:c r="B9" s="63" t="str">
        <x:v>A0A0F5HPP7</x:v>
      </x:c>
      <x:c r="C9" s="63" t="str">
        <x:v>Toolkit TP-Qt (IMEF-like)</x:v>
      </x:c>
      <x:c r="D9" s="63"/>
      <x:c r="E9" s="63" t="str">
        <x:v>KGFTVGSLIQ</x:v>
      </x:c>
      <x:c r="F9" s="63" t="n">
        <x:v>10</x:v>
      </x:c>
      <x:c r="G9" s="63" t="str">
        <x:v>TVGSL</x:v>
      </x:c>
      <x:c r="H9" s="63" t="str">
        <x:v>C_terminal</x:v>
      </x:c>
      <x:c r="I9" s="63"/>
      <x:c r="J9" s="63" t="str">
        <x:v>toolkit_insert_exact</x:v>
      </x:c>
      <x:c r="K9" s="63" t="str">
        <x:v>toolkit</x:v>
      </x:c>
      <x:c r="L9" s="63" t="str">
        <x:v>toolkit_plasmid_sequence</x:v>
      </x:c>
      <x:c r="M9" s="63" t="str">
        <x:v>tp-TP-Qt</x:v>
      </x:c>
      <x:c r="N9" s="63" t="str">
        <x:v>AAAGGATTTACTGTTGGTTCTCTGATTCAG</x:v>
      </x:c>
      <x:c r="O9" s="63" t="str">
        <x:v>existing_toolkit_review</x:v>
      </x:c>
      <x:c r="P9" s="63" t="str">
        <x:v>review_required</x:v>
      </x:c>
      <x:c r="Q9" s="63" t="str">
        <x:v>ENCORE Builder tp-TP-Qt.json; Giessen et al. 2019</x:v>
      </x:c>
      <x:c r="R9" s="63" t="str">
        <x:v>10.7554/eLife.46070</x:v>
      </x:c>
      <x:c r="S9" s="63" t="str">
        <x:v>https://doi.org/10.7554/eLife.46070</x:v>
      </x:c>
      <x:c r="T9" s="63"/>
      <x:c r="U9" s="63" t="str">
        <x:v>Toolkit full ten-residue insert contains published bound core TVGSLIQ, but KG F-prefix and exact native/experimental construct equivalence need source check.</x:v>
      </x:c>
      <x:c r="V9" s="63" t="str">
        <x:v>Reconcile exact ten residues and provenance</x:v>
      </x:c>
      <x:c r="W9" s="63" t="str">
        <x:v>ENCORE tp-TP-Qt.json vs Giessen (2019)</x:v>
      </x:c>
      <x:c r="X9" s="125" t="str">
        <x:f>IF(E9="","",IF(LEN(E9)=F9,"ok","MISMATCH"))</x:f>
        <x:v>ok</x:v>
      </x:c>
      <x:c r="Y9" s="125" t="str">
        <x:f>IF(OR(E9="",G9=""),"",IF(ISNUMBER(SEARCH(G9,E9)),"ok","NOT CONTAINED"))</x:f>
        <x:v>ok</x:v>
      </x:c>
      <x:c r="Z9" s="125" t="str">
        <x:v>A0A0F5HNH9</x:v>
      </x:c>
      <x:c r="AA9" s="125" t="n">
        <x:v>192</x:v>
      </x:c>
      <x:c r="AB9" s="125" t="str">
        <x:v>EEVQPVAHKKKGFTVGSLIQ</x:v>
      </x:c>
      <x:c r="AC9" s="125" t="str">
        <x:v>183-192 of 192</x:v>
      </x:c>
      <x:c r="AD9" s="125" t="str">
        <x:v>Exact C terminus of the cargo</x:v>
      </x:c>
      <x:c r="AE9" s="125" t="str">
        <x:v>OK - 30 nt translate to KGFTVGSLIQ, identical to tp-TP-Qt.json</x:v>
      </x:c>
      <x:c r="AF9" s="125" t="str">
        <x:v>Can be promoted from review_required to verified: the 10 residues are the literal native C terminus.</x:v>
      </x:c>
    </x:row>
    <x:row r="10" ht="26" customHeight="1">
      <x:c r="A10" s="63" t="str">
        <x:v>A0A0F5HPP7_Fdx_N</x:v>
      </x:c>
      <x:c r="B10" s="63" t="str">
        <x:v>A0A0F5HPP7</x:v>
      </x:c>
      <x:c r="C10" s="63" t="str">
        <x:v>2Fe-2S ferredoxin (Fdx)</x:v>
      </x:c>
      <x:c r="D10" s="63"/>
      <x:c r="E10" s="63"/>
      <x:c r="F10" s="63"/>
      <x:c r="G10" s="63" t="str">
        <x:v>TVGSL</x:v>
      </x:c>
      <x:c r="H10" s="63" t="str">
        <x:v>N_terminal</x:v>
      </x:c>
      <x:c r="I10" s="63" t="str">
        <x:v>N-terminal disordered extension (~39 aa)</x:v>
      </x:c>
      <x:c r="J10" s="63" t="str">
        <x:v>core_motif_only_sequence_pending</x:v>
      </x:c>
      <x:c r="K10" s="63" t="str">
        <x:v>native</x:v>
      </x:c>
      <x:c r="L10" s="63" t="str">
        <x:v>cryoEM_TP;heterologous_loading_experiment</x:v>
      </x:c>
      <x:c r="M10" s="63"/>
      <x:c r="N10" s="63"/>
      <x:c r="O10" s="63" t="str">
        <x:v>not_builder_ready</x:v>
      </x:c>
      <x:c r="P10" s="63" t="str">
        <x:v>review_required</x:v>
      </x:c>
      <x:c r="Q10" s="63" t="str">
        <x:v>Kwon et al. 2026, Fig. 1g / Fig. 2a</x:v>
      </x:c>
      <x:c r="R10" s="63" t="str">
        <x:v>10.64898/2026.04.06.716810</x:v>
      </x:c>
      <x:c r="S10" s="63" t="str">
        <x:v>https://doi.org/10.64898/2026.04.06.716810</x:v>
      </x:c>
      <x:c r="T10" s="63"/>
      <x:c r="U10" s="63" t="str">
        <x:v>An N-terminal CLP is experimentally shown. Only conserved core TVGSL is transcribed here; retrieve the full 11-aa minimal peptide from paper/SI before using it as a literal Builder sequence.</x:v>
      </x:c>
      <x:c r="V10" s="63" t="str">
        <x:v>Retrieve full N-terminal peptide sequence from SI</x:v>
      </x:c>
      <x:c r="W10" s="63" t="str">
        <x:v>Kwon et al. (2026)</x:v>
      </x:c>
      <x:c r="X10" s="125" t="str">
        <x:f>IF(E10="","",IF(LEN(E10)=F10,"ok","MISMATCH"))</x:f>
      </x:c>
      <x:c r="Y10" s="125" t="str">
        <x:f>IF(OR(E10="",G10=""),"",IF(ISNUMBER(SEARCH(G10,E10)),"ok","NOT CONTAINED"))</x:f>
      </x:c>
      <x:c r="Z10" s="125"/>
      <x:c r="AA10" s="125"/>
      <x:c r="AB10" s="125"/>
      <x:c r="AC10" s="125"/>
      <x:c r="AD10" s="125"/>
      <x:c r="AE10" s="125"/>
      <x:c r="AF10" s="125"/>
    </x:row>
    <x:row r="11" ht="26" customHeight="1">
      <x:c r="A11" s="63" t="str">
        <x:v>D0LZ74_FLP_C9</x:v>
      </x:c>
      <x:c r="B11" s="63" t="str">
        <x:v>D0LZ74</x:v>
      </x:c>
      <x:c r="C11" s="63" t="str">
        <x:v>EncFtn / ferritin-like cargo</x:v>
      </x:c>
      <x:c r="D11" s="63"/>
      <x:c r="E11" s="63" t="str">
        <x:v>GSLGIGSLR</x:v>
      </x:c>
      <x:c r="F11" s="63" t="n">
        <x:v>9</x:v>
      </x:c>
      <x:c r="G11" s="63" t="str">
        <x:v>GSLGIGSLR</x:v>
      </x:c>
      <x:c r="H11" s="63" t="str">
        <x:v>C_terminal</x:v>
      </x:c>
      <x:c r="I11" s="63"/>
      <x:c r="J11" s="63" t="str">
        <x:v>structure_resolved_binding_motif</x:v>
      </x:c>
      <x:c r="K11" s="63" t="str">
        <x:v>native</x:v>
      </x:c>
      <x:c r="L11" s="63" t="str">
        <x:v>structural_TP</x:v>
      </x:c>
      <x:c r="M11" s="63"/>
      <x:c r="N11" s="63"/>
      <x:c r="O11" s="63" t="str">
        <x:v>research_reference</x:v>
      </x:c>
      <x:c r="P11" s="63" t="str">
        <x:v>verified</x:v>
      </x:c>
      <x:c r="Q11" s="63" t="str">
        <x:v>Jones et al. 2024, TP comparison; H. ochraceum structure</x:v>
      </x:c>
      <x:c r="R11" s="63" t="str">
        <x:v>10.1038/s41467-024-46880-x</x:v>
      </x:c>
      <x:c r="S11" s="63" t="str">
        <x:v>https://doi.org/10.1038/s41467-024-46880-x</x:v>
      </x:c>
      <x:c r="T11" s="63"/>
      <x:c r="U11" s="63" t="str">
        <x:v>The nine-residue Haliangium ochraceum TP binding motif is reported in the structural comparison; do not assume this is the full cargo C-terminal extension.</x:v>
      </x:c>
      <x:c r="V11" s="63"/>
      <x:c r="W11" s="63"/>
      <x:c r="X11" s="125" t="str">
        <x:f>IF(E11="","",IF(LEN(E11)=F11,"ok","MISMATCH"))</x:f>
        <x:v>ok</x:v>
      </x:c>
      <x:c r="Y11" s="125" t="str">
        <x:f>IF(OR(E11="",G11=""),"",IF(ISNUMBER(SEARCH(G11,E11)),"ok","NOT CONTAINED"))</x:f>
        <x:v>ok</x:v>
      </x:c>
      <x:c r="Z11" s="125" t="str">
        <x:v>D0LZ73</x:v>
      </x:c>
      <x:c r="AA11" s="125" t="n">
        <x:v>131</x:v>
      </x:c>
      <x:c r="AB11" s="125" t="str">
        <x:v>SAPSHGSLGIGSLRQEGKED</x:v>
      </x:c>
      <x:c r="AC11" s="125" t="str">
        <x:v>117-125 of 131</x:v>
      </x:c>
      <x:c r="AD11" s="125" t="str">
        <x:v>Real motif, but 6 residue(s) follow it in the cargo</x:v>
      </x:c>
      <x:c r="AE11" s="125"/>
      <x:c r="AF11" s="125" t="str">
        <x:v>Real motif, but six residues (QEGKED) follow it. The note already says so; cargo_terminus is the field that overstates.</x:v>
      </x:c>
    </x:row>
    <x:row r="12" ht="26" customHeight="1">
      <x:c r="A12" s="63" t="str">
        <x:v>I6WZG6_DyP_C_pending</x:v>
      </x:c>
      <x:c r="B12" s="63" t="str">
        <x:v>I6WZG6</x:v>
      </x:c>
      <x:c r="C12" s="63" t="str">
        <x:v>DyP (Rv0799c)</x:v>
      </x:c>
      <x:c r="D12" s="63" t="str">
        <x:v>O07180 (DypB/DyP literature accession; verify current ID)</x:v>
      </x:c>
      <x:c r="E12" s="63"/>
      <x:c r="F12" s="63"/>
      <x:c r="G12" s="63" t="str">
        <x:v>GSLSIGSLKG</x:v>
      </x:c>
      <x:c r="H12" s="63" t="str">
        <x:v>C_terminal</x:v>
      </x:c>
      <x:c r="I12" s="63" t="str">
        <x:v>DyP C-terminal region</x:v>
      </x:c>
      <x:c r="J12" s="63" t="str">
        <x:v>published_C_terminal_motif_only</x:v>
      </x:c>
      <x:c r="K12" s="63" t="str">
        <x:v>native</x:v>
      </x:c>
      <x:c r="L12" s="63" t="str">
        <x:v>natural_DyP_loading;sequence_motif;cryoEM_TP_binding</x:v>
      </x:c>
      <x:c r="M12" s="63"/>
      <x:c r="N12" s="63"/>
      <x:c r="O12" s="63" t="str">
        <x:v>not_builder_ready</x:v>
      </x:c>
      <x:c r="P12" s="63" t="str">
        <x:v>review_required</x:v>
      </x:c>
      <x:c r="Q12" s="63" t="str">
        <x:v>Rahmanpour &amp; Bugg 2013, Table 1; Cuthbert et al. 2024 (9BKX)</x:v>
      </x:c>
      <x:c r="R12" s="63" t="str">
        <x:v>10.1111/febs.12234; 10.3390/microorganisms12122465</x:v>
      </x:c>
      <x:c r="S12" s="63" t="str">
        <x:v>https://doi.org/10.1111/febs.12234</x:v>
      </x:c>
      <x:c r="T12" s="63" t="str">
        <x:v>9BKX</x:v>
      </x:c>
      <x:c r="U12" s="63" t="str">
        <x:v>Table 1 reports the DyP terminal region, including GSLSIGSLKG (within a longer C-terminal extension). This motif alone was NOT demonstrated to be a functional minimal TP; tp_sequence_aa deliberately blank until experimental construct boundary is verified.</x:v>
      </x:c>
      <x:c r="V12" s="63" t="str">
        <x:v>Determine experimental TP length; do not use motif alone</x:v>
      </x:c>
      <x:c r="W12" s="63" t="str">
        <x:v>Rahmanpour &amp; Bugg (2013), Table 1; Cuthbert (2024)</x:v>
      </x:c>
      <x:c r="X12" s="125" t="str">
        <x:f>IF(E12="","",IF(LEN(E12)=F12,"ok","MISMATCH"))</x:f>
      </x:c>
      <x:c r="Y12" s="125" t="str">
        <x:f>IF(OR(E12="",G12=""),"",IF(ISNUMBER(SEARCH(G12,E12)),"ok","NOT CONTAINED"))</x:f>
      </x:c>
      <x:c r="Z12" s="125"/>
      <x:c r="AA12" s="125"/>
      <x:c r="AB12" s="125"/>
      <x:c r="AC12" s="125"/>
      <x:c r="AD12" s="125"/>
      <x:c r="AE12" s="125"/>
      <x:c r="AF12" s="125"/>
    </x:row>
    <x:row r="13" ht="26" customHeight="1">
      <x:c r="A13" s="63" t="str">
        <x:v>A0R4H0_DyP_C_pending</x:v>
      </x:c>
      <x:c r="B13" s="63" t="str">
        <x:v>A0R4H0</x:v>
      </x:c>
      <x:c r="C13" s="63" t="str">
        <x:v>DyP cargo</x:v>
      </x:c>
      <x:c r="D13" s="63"/>
      <x:c r="E13" s="63"/>
      <x:c r="F13" s="63"/>
      <x:c r="G13" s="63"/>
      <x:c r="H13" s="63" t="str">
        <x:v>C_terminal</x:v>
      </x:c>
      <x:c r="I13" s="63"/>
      <x:c r="J13" s="63" t="str">
        <x:v>sequence_pending</x:v>
      </x:c>
      <x:c r="K13" s="63" t="str">
        <x:v>native</x:v>
      </x:c>
      <x:c r="L13" s="63" t="str">
        <x:v>native_cargo_loading</x:v>
      </x:c>
      <x:c r="M13" s="63"/>
      <x:c r="N13" s="63"/>
      <x:c r="O13" s="63" t="str">
        <x:v>not_builder_ready</x:v>
      </x:c>
      <x:c r="P13" s="63" t="str">
        <x:v>review_required</x:v>
      </x:c>
      <x:c r="Q13" s="63" t="str">
        <x:v>Tang et al. 2021, PDB 7BOJ</x:v>
      </x:c>
      <x:c r="R13" s="63" t="str">
        <x:v>10.1073/pnas.2025658118</x:v>
      </x:c>
      <x:c r="S13" s="63" t="str">
        <x:v>https://doi.org/10.1073/pnas.2025658118</x:v>
      </x:c>
      <x:c r="T13" s="63" t="str">
        <x:v>7BOJ</x:v>
      </x:c>
      <x:c r="U13" s="63" t="str">
        <x:v>Natural DyP cargo is documented; exact TP boundary/sequence not curated. Do not copy M. tuberculosis TP into this species by similarity.</x:v>
      </x:c>
      <x:c r="V13" s="63" t="str">
        <x:v>Identify MsDyP cargo sequence and tested boundaries</x:v>
      </x:c>
      <x:c r="W13" s="63" t="str">
        <x:v>Tang (2021)</x:v>
      </x:c>
      <x:c r="X13" s="125" t="str">
        <x:f>IF(E13="","",IF(LEN(E13)=F13,"ok","MISMATCH"))</x:f>
      </x:c>
      <x:c r="Y13" s="125" t="str">
        <x:f>IF(OR(E13="",G13=""),"",IF(ISNUMBER(SEARCH(G13,E13)),"ok","NOT CONTAINED"))</x:f>
      </x:c>
      <x:c r="Z13" s="125"/>
      <x:c r="AA13" s="125"/>
      <x:c r="AB13" s="125"/>
      <x:c r="AC13" s="125"/>
      <x:c r="AD13" s="125"/>
      <x:c r="AE13" s="125"/>
      <x:c r="AF13" s="125"/>
    </x:row>
    <x:row r="14" ht="26" customHeight="1">
      <x:c r="A14" s="63" t="str">
        <x:v>A0AAT8XUH9_KpDyP_C10</x:v>
      </x:c>
      <x:c r="B14" s="63" t="str">
        <x:v>A0AAT8XUH9</x:v>
      </x:c>
      <x:c r="C14" s="63" t="str">
        <x:v>DyP cargo</x:v>
      </x:c>
      <x:c r="D14" s="63" t="str">
        <x:v>UPI0018699629</x:v>
      </x:c>
      <x:c r="E14" s="63" t="str">
        <x:v>SGSLNIGSLK</x:v>
      </x:c>
      <x:c r="F14" s="63" t="n">
        <x:v>10</x:v>
      </x:c>
      <x:c r="G14" s="63" t="str">
        <x:v>GSLNIGSLK</x:v>
      </x:c>
      <x:c r="H14" s="63" t="str">
        <x:v>C_terminal</x:v>
      </x:c>
      <x:c r="I14" s="63"/>
      <x:c r="J14" s="63" t="str">
        <x:v>structure_resolved_binding_motif</x:v>
      </x:c>
      <x:c r="K14" s="63" t="str">
        <x:v>native</x:v>
      </x:c>
      <x:c r="L14" s="63" t="str">
        <x:v>cryoEM_binding;mutagenesis;cargo_loading</x:v>
      </x:c>
      <x:c r="M14" s="63"/>
      <x:c r="N14" s="63"/>
      <x:c r="O14" s="63" t="str">
        <x:v>research_reference</x:v>
      </x:c>
      <x:c r="P14" s="63" t="str">
        <x:v>verified</x:v>
      </x:c>
      <x:c r="Q14" s="63" t="str">
        <x:v>Jones et al. 2024, Fig. 4 / SUMO-TP construct</x:v>
      </x:c>
      <x:c r="R14" s="63" t="str">
        <x:v>10.1038/s41467-024-46880-x</x:v>
      </x:c>
      <x:c r="S14" s="63" t="str">
        <x:v>https://doi.org/10.1038/s41467-024-46880-x</x:v>
      </x:c>
      <x:c r="T14" s="63"/>
      <x:c r="U14" s="63" t="str">
        <x:v>Bound 10-aa motif. Actual validated heterologous SUMO construct used the cargo C-terminal 22 residues, so use that 22-aa construct for exact Builder emulation.</x:v>
      </x:c>
      <x:c r="V14" s="63"/>
      <x:c r="W14" s="63"/>
      <x:c r="X14" s="125" t="str">
        <x:f>IF(E14="","",IF(LEN(E14)=F14,"ok","MISMATCH"))</x:f>
        <x:v>ok</x:v>
      </x:c>
      <x:c r="Y14" s="125" t="str">
        <x:f>IF(OR(E14="",G14=""),"",IF(ISNUMBER(SEARCH(G14,E14)),"ok","NOT CONTAINED"))</x:f>
        <x:v>ok</x:v>
      </x:c>
      <x:c r="Z14" s="125"/>
      <x:c r="AA14" s="125"/>
      <x:c r="AB14" s="125"/>
      <x:c r="AC14" s="125"/>
      <x:c r="AD14" s="125"/>
      <x:c r="AE14" s="125"/>
      <x:c r="AF14" s="125" t="str">
        <x:v>Not verified here: cargo_accession UPI0018699629 is a UniParc ID that could not be resolved to a sequence.</x:v>
      </x:c>
    </x:row>
    <x:row r="15" ht="26" customHeight="1">
      <x:c r="A15" s="63" t="str">
        <x:v>K5BEG2_MhDyP_C30</x:v>
      </x:c>
      <x:c r="B15" s="63" t="str">
        <x:v>K5BEG2</x:v>
      </x:c>
      <x:c r="C15" s="63" t="str">
        <x:v>Native Mycolicibacterium hassiacum DyP</x:v>
      </x:c>
      <x:c r="D15" s="63" t="str">
        <x:v>EKF22245.1</x:v>
      </x:c>
      <x:c r="E15" s="63" t="str">
        <x:v>PPPLPDSEPDREIPADDGSLGIGSLKGTRS</x:v>
      </x:c>
      <x:c r="F15" s="63" t="n">
        <x:v>30</x:v>
      </x:c>
      <x:c r="G15" s="63" t="str">
        <x:v>GSLGIGSLK</x:v>
      </x:c>
      <x:c r="H15" s="63" t="str">
        <x:v>C_terminal</x:v>
      </x:c>
      <x:c r="I15" s="63" t="str">
        <x:v>C-terminal 30 aa</x:v>
      </x:c>
      <x:c r="J15" s="63" t="str">
        <x:v>full_reported_TP_construct</x:v>
      </x:c>
      <x:c r="K15" s="63" t="str">
        <x:v>native_derived</x:v>
      </x:c>
      <x:c r="L15" s="63" t="str">
        <x:v>heterologous_loading_experiment</x:v>
      </x:c>
      <x:c r="M15" s="63"/>
      <x:c r="N15" s="63"/>
      <x:c r="O15" s="63" t="str">
        <x:v>research_reference</x:v>
      </x:c>
      <x:c r="P15" s="63" t="str">
        <x:v>verified</x:v>
      </x:c>
      <x:c r="Q15" s="63" t="str">
        <x:v>Loncar et al. 2020, Sec. 3.2</x:v>
      </x:c>
      <x:c r="R15" s="63" t="str">
        <x:v>10.1016/j.bbrc.2020.06.059</x:v>
      </x:c>
      <x:c r="S15" s="63" t="str">
        <x:v>https://doi.org/10.1016/j.bbrc.2020.06.059</x:v>
      </x:c>
      <x:c r="T15" s="63" t="str">
        <x:v>6I9G</x:v>
      </x:c>
      <x:c r="U15" s="63" t="str">
        <x:v>Exact native DyP-derived 30-aa peptide appended to diverse non-native cargos and experimentally used to encapsulate them in EncMh.</x:v>
      </x:c>
      <x:c r="V15" s="63"/>
      <x:c r="W15" s="63"/>
      <x:c r="X15" s="125" t="str">
        <x:f>IF(E15="","",IF(LEN(E15)=F15,"ok","MISMATCH"))</x:f>
        <x:v>ok</x:v>
      </x:c>
      <x:c r="Y15" s="125" t="str">
        <x:f>IF(OR(E15="",G15=""),"",IF(ISNUMBER(SEARCH(G15,E15)),"ok","NOT CONTAINED"))</x:f>
        <x:v>ok</x:v>
      </x:c>
      <x:c r="Z15" s="125" t="str">
        <x:v>K5BAH4</x:v>
      </x:c>
      <x:c r="AA15" s="125" t="n">
        <x:v>317</x:v>
      </x:c>
      <x:c r="AB15" s="125" t="str">
        <x:v>DFLNDPPPLPDSEPDREIPADDGSLGIGSLKGTRS</x:v>
      </x:c>
      <x:c r="AC15" s="125" t="str">
        <x:v>288-317 of 317</x:v>
      </x:c>
      <x:c r="AD15" s="125" t="str">
        <x:v>Exact C terminus of the cargo</x:v>
      </x:c>
      <x:c r="AE15" s="125"/>
      <x:c r="AF15" s="125"/>
    </x:row>
    <x:row r="16" ht="26" customHeight="1">
      <x:c r="A16" s="63" t="str">
        <x:v>A0A1G9WS71_Dendro_crossTP30</x:v>
      </x:c>
      <x:c r="B16" s="63" t="str">
        <x:v>A0A1G9WS71</x:v>
      </x:c>
      <x:c r="C16" s="63" t="str">
        <x:v>Heterologous enzymes tagged with MhDyP TP</x:v>
      </x:c>
      <x:c r="D16" s="63" t="str">
        <x:v>EKF22245.1</x:v>
      </x:c>
      <x:c r="E16" s="63" t="str">
        <x:v>PPPLPDSEPDREIPADDGSLGIGSLKGTRS</x:v>
      </x:c>
      <x:c r="F16" s="63" t="n">
        <x:v>30</x:v>
      </x:c>
      <x:c r="G16" s="63" t="str">
        <x:v>GSLGIGSLK</x:v>
      </x:c>
      <x:c r="H16" s="63" t="str">
        <x:v>C_terminal</x:v>
      </x:c>
      <x:c r="I16" s="63" t="str">
        <x:v>C-terminal engineered fusion</x:v>
      </x:c>
      <x:c r="J16" s="63" t="str">
        <x:v>full_reported_TP_construct</x:v>
      </x:c>
      <x:c r="K16" s="63" t="str">
        <x:v>heterologous_cross_system</x:v>
      </x:c>
      <x:c r="L16" s="63" t="str">
        <x:v>heterologous_loading_experiment</x:v>
      </x:c>
      <x:c r="M16" s="63"/>
      <x:c r="N16" s="63"/>
      <x:c r="O16" s="63" t="str">
        <x:v>research_reference</x:v>
      </x:c>
      <x:c r="P16" s="63" t="str">
        <x:v>verified</x:v>
      </x:c>
      <x:c r="Q16" s="63" t="str">
        <x:v>Robust bacterial protein nanocages, Materials Advances 2025</x:v>
      </x:c>
      <x:c r="R16" s="63" t="str">
        <x:v>10.1039/D5MA00268K</x:v>
      </x:c>
      <x:c r="S16" s="63" t="str">
        <x:v>https://doi.org/10.1039/D5MA00268K</x:v>
      </x:c>
      <x:c r="T16" s="63"/>
      <x:c r="U16" s="63" t="str">
        <x:v>Experimentally used with DendroEnc to load CyanoPOX/PTDH-mFMO. This is an engineered cross-system TP derived from M. hassiacum DyP, NOT the native DendroEnc cargo peptide.</x:v>
      </x:c>
      <x:c r="V16" s="63"/>
      <x:c r="W16" s="63"/>
      <x:c r="X16" s="125" t="str">
        <x:f>IF(E16="","",IF(LEN(E16)=F16,"ok","MISMATCH"))</x:f>
        <x:v>ok</x:v>
      </x:c>
      <x:c r="Y16" s="125" t="str">
        <x:f>IF(OR(E16="",G16=""),"",IF(ISNUMBER(SEARCH(G16,E16)),"ok","NOT CONTAINED"))</x:f>
        <x:v>ok</x:v>
      </x:c>
      <x:c r="Z16" s="125" t="str">
        <x:v>K5BAH4</x:v>
      </x:c>
      <x:c r="AA16" s="125" t="n">
        <x:v>317</x:v>
      </x:c>
      <x:c r="AB16" s="125" t="str">
        <x:v>DFLNDPPPLPDSEPDREIPADDGSLGIGSLKGTRS</x:v>
      </x:c>
      <x:c r="AC16" s="125" t="str">
        <x:v>288-317 of 317</x:v>
      </x:c>
      <x:c r="AD16" s="125" t="str">
        <x:v>Exact C terminus of the cargo</x:v>
      </x:c>
      <x:c r="AE16" s="125"/>
      <x:c r="AF16" s="125"/>
    </x:row>
    <x:row r="17" ht="26" customHeight="1">
      <x:c r="A17" s="63" t="str">
        <x:v>Q55032_CyD_N_domain</x:v>
      </x:c>
      <x:c r="B17" s="63" t="str">
        <x:v>Q55032</x:v>
      </x:c>
      <x:c r="C17" s="63" t="str">
        <x:v>Cysteine desulfurase cargo</x:v>
      </x:c>
      <x:c r="D17" s="63"/>
      <x:c r="E17" s="63"/>
      <x:c r="F17" s="63"/>
      <x:c r="G17" s="63"/>
      <x:c r="H17" s="63" t="str">
        <x:v>N_terminal</x:v>
      </x:c>
      <x:c r="I17" s="63" t="str">
        <x:v>N-terminal 225 aa tested; N-terminal 100 aa reduced loading</x:v>
      </x:c>
      <x:c r="J17" s="63" t="str">
        <x:v>targeting_domain_225aa_not_short_TP</x:v>
      </x:c>
      <x:c r="K17" s="63" t="str">
        <x:v>native</x:v>
      </x:c>
      <x:c r="L17" s="63" t="str">
        <x:v>heterologous_sfGFP_loading;NTD_domain_sufficiency</x:v>
      </x:c>
      <x:c r="M17" s="63"/>
      <x:c r="N17" s="63"/>
      <x:c r="O17" s="63" t="str">
        <x:v>not_builder_ready</x:v>
      </x:c>
      <x:c r="P17" s="63" t="str">
        <x:v>review_required</x:v>
      </x:c>
      <x:c r="Q17" s="63" t="str">
        <x:v>Nichols et al. 2021, eLife, Fig. 3C / Fig. 4</x:v>
      </x:c>
      <x:c r="R17" s="63" t="str">
        <x:v>10.7554/eLife.59288</x:v>
      </x:c>
      <x:c r="S17" s="63" t="str">
        <x:v>https://doi.org/10.7554/eLife.59288</x:v>
      </x:c>
      <x:c r="T17" s="63"/>
      <x:c r="U17" s="63" t="str">
        <x:v>Full 225-aa N-terminal cargo domain enabled sfGFP loading; N-terminal 100 aa showed weaker loading. The motif AASPYYFLDG alone was NOT sufficient. Do not present as short standalone TP in Builder.</x:v>
      </x:c>
      <x:c r="V17" s="63" t="str">
        <x:v>Retrieve 225-aa domain sequence; do not equate conserved motif to TP</x:v>
      </x:c>
      <x:c r="W17" s="63" t="str">
        <x:v>Nichols (2021), Fig. 3C, 4</x:v>
      </x:c>
      <x:c r="X17" s="125" t="str">
        <x:f>IF(E17="","",IF(LEN(E17)=F17,"ok","MISMATCH"))</x:f>
      </x:c>
      <x:c r="Y17" s="125" t="str">
        <x:f>IF(OR(E17="",G17=""),"",IF(ISNUMBER(SEARCH(G17,E17)),"ok","NOT CONTAINED"))</x:f>
      </x:c>
      <x:c r="Z17" s="125"/>
      <x:c r="AA17" s="125"/>
      <x:c r="AB17" s="125"/>
      <x:c r="AC17" s="125"/>
      <x:c r="AD17" s="125"/>
      <x:c r="AE17" s="125"/>
      <x:c r="AF17" s="125"/>
    </x:row>
    <x:row r="18" ht="26" customHeight="1">
      <x:c r="A18" s="63" t="str">
        <x:v>I3NID5_CyD_N_domain</x:v>
      </x:c>
      <x:c r="B18" s="63" t="str">
        <x:v>I3NID5</x:v>
      </x:c>
      <x:c r="C18" s="63" t="str">
        <x:v>Cysteine desulfurase cargo</x:v>
      </x:c>
      <x:c r="D18" s="63"/>
      <x:c r="E18" s="63"/>
      <x:c r="F18" s="63"/>
      <x:c r="G18" s="63"/>
      <x:c r="H18" s="63" t="str">
        <x:v>N_terminal</x:v>
      </x:c>
      <x:c r="I18" s="63" t="str">
        <x:v>~225-aa N-terminal targeting domain</x:v>
      </x:c>
      <x:c r="J18" s="63" t="str">
        <x:v>targeting_domain_not_short_TP</x:v>
      </x:c>
      <x:c r="K18" s="63" t="str">
        <x:v>native</x:v>
      </x:c>
      <x:c r="L18" s="63" t="str">
        <x:v>experimental_loading;domain_mediated</x:v>
      </x:c>
      <x:c r="M18" s="63"/>
      <x:c r="N18" s="63"/>
      <x:c r="O18" s="63" t="str">
        <x:v>not_builder_ready</x:v>
      </x:c>
      <x:c r="P18" s="63" t="str">
        <x:v>review_required</x:v>
      </x:c>
      <x:c r="Q18" s="63" t="str">
        <x:v>SrpI-related Family 2A encapsulin studies (see databank.loading_info)</x:v>
      </x:c>
      <x:c r="R18" s="63"/>
      <x:c r="S18" s="63"/>
      <x:c r="T18" s="63"/>
      <x:c r="U18" s="63" t="str">
        <x:v>Targeting is mediated by an extended N-terminal domain, not an interchangeable short TP. Exact N-terminal domain source, boundaries and sequence require separate curation.</x:v>
      </x:c>
      <x:c r="V18" s="63" t="str">
        <x:v>Verify organism/construct and NTD sequence independently</x:v>
      </x:c>
      <x:c r="W18" s="63" t="str">
        <x:v>Nichols et al. (2021)</x:v>
      </x:c>
      <x:c r="X18" s="125" t="str">
        <x:f>IF(E18="","",IF(LEN(E18)=F18,"ok","MISMATCH"))</x:f>
      </x:c>
      <x:c r="Y18" s="125" t="str">
        <x:f>IF(OR(E18="",G18=""),"",IF(ISNUMBER(SEARCH(G18,E18)),"ok","NOT CONTAINED"))</x:f>
      </x:c>
      <x:c r="Z18" s="125"/>
      <x:c r="AA18" s="125"/>
      <x:c r="AB18" s="125"/>
      <x:c r="AC18" s="125"/>
      <x:c r="AD18" s="125"/>
      <x:c r="AE18" s="125"/>
      <x:c r="AF18" s="125"/>
    </x:row>
    <x:row r="19" ht="26" customHeight="1">
      <x:c r="A19" s="63" t="str">
        <x:v>Q0SE23_DyPB_C_motif</x:v>
      </x:c>
      <x:c r="B19" s="63" t="str">
        <x:v>Q0SE23</x:v>
      </x:c>
      <x:c r="C19" s="63" t="str">
        <x:v>DypB lignin peroxidase</x:v>
      </x:c>
      <x:c r="D19" s="63" t="str">
        <x:v>Q0SE24</x:v>
      </x:c>
      <x:c r="E19" s="63"/>
      <x:c r="F19" s="63"/>
      <x:c r="G19" s="63" t="str">
        <x:v>SLKIGGLKG</x:v>
      </x:c>
      <x:c r="H19" s="63" t="str">
        <x:v>C_terminal</x:v>
      </x:c>
      <x:c r="I19" s="63" t="str">
        <x:v>C-terminal segment, exact minimal limits not validated</x:v>
      </x:c>
      <x:c r="J19" s="63" t="str">
        <x:v>published_C_terminal_motif_only</x:v>
      </x:c>
      <x:c r="K19" s="63" t="str">
        <x:v>native</x:v>
      </x:c>
      <x:c r="L19" s="63" t="str">
        <x:v>C_terminal_sequence_alignment;native_DypB_encapsulin_reassembly</x:v>
      </x:c>
      <x:c r="M19" s="63"/>
      <x:c r="N19" s="63"/>
      <x:c r="O19" s="63" t="str">
        <x:v>not_builder_ready</x:v>
      </x:c>
      <x:c r="P19" s="63" t="str">
        <x:v>review_required</x:v>
      </x:c>
      <x:c r="Q19" s="63" t="str">
        <x:v>Rahmanpour &amp; Bugg 2013, Results: Sequence analysis, Table 1</x:v>
      </x:c>
      <x:c r="R19" s="63" t="str">
        <x:v>10.1111/febs.12234</x:v>
      </x:c>
      <x:c r="S19" s="63" t="str">
        <x:v>https://doi.org/10.1111/febs.12234</x:v>
      </x:c>
      <x:c r="T19" s="63"/>
      <x:c r="U19" s="63" t="str">
        <x:v>Table 1 lists C-terminal DypB sequence, including SLKIGGLKG. DypB–encapsulin complex was reassembled in vitro. Isolated 9-aa motif was not validated as sufficient for heterologous cargo; do not auto-transfer it as a TP.</x:v>
      </x:c>
      <x:c r="V19" s="63" t="str">
        <x:v>Confirm full peptide and functional boundaries</x:v>
      </x:c>
      <x:c r="W19" s="63" t="str">
        <x:v>Rahmanpour &amp; Bugg (2013), Table 1</x:v>
      </x:c>
      <x:c r="X19" s="125" t="str">
        <x:f>IF(E19="","",IF(LEN(E19)=F19,"ok","MISMATCH"))</x:f>
      </x:c>
      <x:c r="Y19" s="125" t="str">
        <x:f>IF(OR(E19="",G19=""),"",IF(ISNUMBER(SEARCH(G19,E19)),"ok","NOT CONTAINED"))</x:f>
      </x:c>
      <x:c r="Z19" s="125"/>
      <x:c r="AA19" s="125"/>
      <x:c r="AB19" s="125"/>
      <x:c r="AC19" s="125"/>
      <x:c r="AD19" s="125"/>
      <x:c r="AE19" s="125"/>
      <x:c r="AF19" s="125"/>
    </x:row>
    <x:row r="20" ht="26" customHeight="1">
      <x:c r="A20" s="63" t="str">
        <x:v>Q2RVS0_EncFtn_C_motif</x:v>
      </x:c>
      <x:c r="B20" s="63" t="str">
        <x:v>Q2RVS0</x:v>
      </x:c>
      <x:c r="C20" s="63" t="str">
        <x:v>Encapsulated ferritin / EncFtn</x:v>
      </x:c>
      <x:c r="D20" s="63" t="str">
        <x:v>Q2RVS1</x:v>
      </x:c>
      <x:c r="E20" s="63"/>
      <x:c r="F20" s="63"/>
      <x:c r="G20" s="63" t="str">
        <x:v>GSLGIGSLKG</x:v>
      </x:c>
      <x:c r="H20" s="63" t="str">
        <x:v>C_terminal</x:v>
      </x:c>
      <x:c r="I20" s="63" t="str">
        <x:v>Reported in EncFtn C-terminal extension (position assignment requires review)</x:v>
      </x:c>
      <x:c r="J20" s="63" t="str">
        <x:v>reported_C_terminal_motif_not_isolated</x:v>
      </x:c>
      <x:c r="K20" s="63" t="str">
        <x:v>native</x:v>
      </x:c>
      <x:c r="L20" s="63" t="str">
        <x:v>native_cargo_loading;candidate_C_terminal_TP_motif</x:v>
      </x:c>
      <x:c r="M20" s="63"/>
      <x:c r="N20" s="63"/>
      <x:c r="O20" s="63" t="str">
        <x:v>not_builder_ready</x:v>
      </x:c>
      <x:c r="P20" s="63" t="str">
        <x:v>review_required</x:v>
      </x:c>
      <x:c r="Q20" s="63" t="str">
        <x:v>He et al. 2016; McIver et al. 2026; PDB 9RZM</x:v>
      </x:c>
      <x:c r="R20" s="63" t="str">
        <x:v>10.7554/eLife.18972; 10.1016/j.jsb.2026.108357</x:v>
      </x:c>
      <x:c r="S20" s="63" t="str">
        <x:v>https://doi.org/10.7554/eLife.18972</x:v>
      </x:c>
      <x:c r="T20" s="63"/>
      <x:c r="U20" s="63" t="str">
        <x:v>Prior curation identified GSLGIGSLKG in the C-terminal EncFtn extension and the candidate extension IEAADTAGEGSGGDAAKGATAQGDGSLGIGSLKGEAALARPPRL. Recheck exact Q2RVS1 sequence, coordinates and experimental TP length before building; a short isolated motif was not established as functional.</x:v>
      </x:c>
      <x:c r="V20" s="63" t="str">
        <x:v>Compare full cargo sequence and TP sufficiency</x:v>
      </x:c>
      <x:c r="W20" s="63" t="str">
        <x:v>He (2016), McIver (2026); PDB 9RZM</x:v>
      </x:c>
      <x:c r="X20" s="125" t="str">
        <x:f>IF(E20="","",IF(LEN(E20)=F20,"ok","MISMATCH"))</x:f>
      </x:c>
      <x:c r="Y20" s="125" t="str">
        <x:f>IF(OR(E20="",G20=""),"",IF(ISNUMBER(SEARCH(G20,E20)),"ok","NOT CONTAINED"))</x:f>
      </x:c>
      <x:c r="Z20" s="125"/>
      <x:c r="AA20" s="125"/>
      <x:c r="AB20" s="125"/>
      <x:c r="AC20" s="125"/>
      <x:c r="AD20" s="125"/>
      <x:c r="AE20" s="125"/>
      <x:c r="AF20" s="125"/>
    </x:row>
    <x:row r="21" ht="26" customHeight="1">
      <x:c r="A21" s="63" t="str">
        <x:v>Q45296_DyP_C_pending</x:v>
      </x:c>
      <x:c r="B21" s="63" t="str">
        <x:v>Q45296</x:v>
      </x:c>
      <x:c r="C21" s="63" t="str">
        <x:v>DyP-type peroxidase</x:v>
      </x:c>
      <x:c r="D21" s="63"/>
      <x:c r="E21" s="63"/>
      <x:c r="F21" s="63"/>
      <x:c r="G21" s="63"/>
      <x:c r="H21" s="63" t="str">
        <x:v>C_terminal</x:v>
      </x:c>
      <x:c r="I21" s="63"/>
      <x:c r="J21" s="63" t="str">
        <x:v>heterologous_TFP_loading_TP_sequence_pending</x:v>
      </x:c>
      <x:c r="K21" s="63" t="str">
        <x:v>native_derived</x:v>
      </x:c>
      <x:c r="L21" s="63" t="str">
        <x:v>heterologous_TFP_loading_reported;C_terminal_DyP_derived</x:v>
      </x:c>
      <x:c r="M21" s="63"/>
      <x:c r="N21" s="63"/>
      <x:c r="O21" s="63" t="str">
        <x:v>not_builder_ready</x:v>
      </x:c>
      <x:c r="P21" s="63" t="str">
        <x:v>review_required</x:v>
      </x:c>
      <x:c r="Q21" s="63" t="str">
        <x:v>Putri et al. 2017, ACS Nano: B. linens DyP C-terminal fusion to TFP</x:v>
      </x:c>
      <x:c r="R21" s="63" t="str">
        <x:v>10.1021/acsnano.7b07669</x:v>
      </x:c>
      <x:c r="S21" s="63" t="str">
        <x:v>https://doi.org/10.1021/acsnano.7b07669</x:v>
      </x:c>
      <x:c r="T21" s="63"/>
      <x:c r="U21" s="63" t="str">
        <x:v>C-terminal DyP fusion enabled TFP packaging. Need exact construct sequence and length from cited earlier engineering paper and its SI; do not assume a 10-aa motif or a specific cargo accession.</x:v>
      </x:c>
      <x:c r="V21" s="63" t="str">
        <x:v>Extract literal DyP-to-TFP fused fragment from SI</x:v>
      </x:c>
      <x:c r="W21" s="63" t="str">
        <x:v>Putri (2017) / original fusion paper</x:v>
      </x:c>
      <x:c r="X21" s="125" t="str">
        <x:f>IF(E21="","",IF(LEN(E21)=F21,"ok","MISMATCH"))</x:f>
      </x:c>
      <x:c r="Y21" s="125" t="str">
        <x:f>IF(OR(E21="",G21=""),"",IF(ISNUMBER(SEARCH(G21,E21)),"ok","NOT CONTAINED"))</x:f>
      </x:c>
      <x:c r="Z21" s="125"/>
      <x:c r="AA21" s="125"/>
      <x:c r="AB21" s="125"/>
      <x:c r="AC21" s="125"/>
      <x:c r="AD21" s="125"/>
      <x:c r="AE21" s="125"/>
      <x:c r="AF21" s="125"/>
    </x:row>
    <x:row r="22" ht="26" customHeight="1">
      <x:c r="A22" s="63" t="str">
        <x:v>K7RV67_DyP_C_pending</x:v>
      </x:c>
      <x:c r="B22" s="63" t="str">
        <x:v>K7RV67</x:v>
      </x:c>
      <x:c r="C22" s="63" t="str">
        <x:v>Native DyP-derived targeting sequence fused to eGFP</x:v>
      </x:c>
      <x:c r="D22" s="63"/>
      <x:c r="E22" s="63"/>
      <x:c r="F22" s="63"/>
      <x:c r="G22" s="63"/>
      <x:c r="H22" s="63" t="str">
        <x:v>C_terminal</x:v>
      </x:c>
      <x:c r="I22" s="63"/>
      <x:c r="J22" s="63" t="str">
        <x:v>tested_heterologous_TP_exact_sequence_pending</x:v>
      </x:c>
      <x:c r="K22" s="63" t="str">
        <x:v>native_derived</x:v>
      </x:c>
      <x:c r="L22" s="63" t="str">
        <x:v>heterologous_eGFP_loading_experiment</x:v>
      </x:c>
      <x:c r="M22" s="63"/>
      <x:c r="N22" s="63"/>
      <x:c r="O22" s="63" t="str">
        <x:v>not_builder_ready</x:v>
      </x:c>
      <x:c r="P22" s="63" t="str">
        <x:v>review_required</x:v>
      </x:c>
      <x:c r="Q22" s="63" t="str">
        <x:v>Jones, Andreas &amp; Giessen 2023, Biomacromolecules, In Vivo Cargo Loading and pH Effects on Internalized Cargo, Fig. 6</x:v>
      </x:c>
      <x:c r="R22" s="63" t="str">
        <x:v>10.1021/acs.biomac.2c01424</x:v>
      </x:c>
      <x:c r="S22" s="63" t="str">
        <x:v>https://doi.org/10.1021/acs.biomac.2c01424</x:v>
      </x:c>
      <x:c r="T22" s="63" t="str">
        <x:v>8DN9;8DNA;8DNL</x:v>
      </x:c>
      <x:c r="U22" s="63" t="str">
        <x:v>Authors fused a predicted C-terminal DyP TP to eGFP; co-purification and ~11 eGFP cargos per shell were reported. Need literal TP sequence, boundary and linker from Supporting Information before Builder transfer.</x:v>
      </x:c>
      <x:c r="V22" s="63" t="str">
        <x:v>Extract eGFP-TP insert and linker from SI</x:v>
      </x:c>
      <x:c r="W22" s="63" t="str">
        <x:v>Jones (2023), Fig. 6 / SI</x:v>
      </x:c>
      <x:c r="X22" s="125" t="str">
        <x:f>IF(E22="","",IF(LEN(E22)=F22,"ok","MISMATCH"))</x:f>
      </x:c>
      <x:c r="Y22" s="125" t="str">
        <x:f>IF(OR(E22="",G22=""),"",IF(ISNUMBER(SEARCH(G22,E22)),"ok","NOT CONTAINED"))</x:f>
      </x:c>
      <x:c r="Z22" s="125"/>
      <x:c r="AA22" s="125"/>
      <x:c r="AB22" s="125"/>
      <x:c r="AC22" s="125"/>
      <x:c r="AD22" s="125"/>
      <x:c r="AE22" s="125"/>
      <x:c r="AF22" s="125"/>
    </x:row>
    <x:row r="23" ht="26" customHeight="1">
      <x:c r="A23" s="63" t="str">
        <x:v>I3E3I1_CLP_pending</x:v>
      </x:c>
      <x:c r="B23" s="63" t="str">
        <x:v>I3E3I1</x:v>
      </x:c>
      <x:c r="C23" s="63" t="str">
        <x:v>BmEnc-associated cargo / CLP (to identify)</x:v>
      </x:c>
      <x:c r="D23" s="63"/>
      <x:c r="E23" s="63"/>
      <x:c r="F23" s="63"/>
      <x:c r="G23" s="63"/>
      <x:c r="H23" s="63"/>
      <x:c r="I23" s="63"/>
      <x:c r="J23" s="63" t="str">
        <x:v>literature_lead_sequence_not_located</x:v>
      </x:c>
      <x:c r="K23" s="63" t="str">
        <x:v>unknown</x:v>
      </x:c>
      <x:c r="L23" s="63" t="str">
        <x:v>prior_curation_lead_CLP_loading_unverified_in_primary_source</x:v>
      </x:c>
      <x:c r="M23" s="63"/>
      <x:c r="N23" s="63"/>
      <x:c r="O23" s="63" t="str">
        <x:v>not_builder_ready</x:v>
      </x:c>
      <x:c r="P23" s="63" t="str">
        <x:v>review_required</x:v>
      </x:c>
      <x:c r="Q23" s="63" t="str">
        <x:v>BmEnc-related work; source and cargo identity must be verified against the assembly papers</x:v>
      </x:c>
      <x:c r="R23" s="63"/>
      <x:c r="S23" s="63"/>
      <x:c r="T23" s="63" t="str">
        <x:v>9FY6</x:v>
      </x:c>
      <x:c r="U23" s="63" t="str">
        <x:v>Candidate from previous literature audit: CLP-mediated loading was mentioned, but specific publication, primary figure, TP sequence and construct have not been verified. This row is a review lead, NOT evidence of a usable TP.</x:v>
      </x:c>
      <x:c r="V23" s="63" t="str">
        <x:v>Find primary CLP cargo-loading paper and literal sequence</x:v>
      </x:c>
      <x:c r="W23" s="63" t="str">
        <x:v>BmEnc / PDB 9FY6</x:v>
      </x:c>
      <x:c r="X23" s="125" t="str">
        <x:f>IF(E23="","",IF(LEN(E23)=F23,"ok","MISMATCH"))</x:f>
      </x:c>
      <x:c r="Y23" s="125" t="str">
        <x:f>IF(OR(E23="",G23=""),"",IF(ISNUMBER(SEARCH(G23,E23)),"ok","NOT CONTAINED"))</x:f>
      </x:c>
      <x:c r="Z23" s="125"/>
      <x:c r="AA23" s="125"/>
      <x:c r="AB23" s="125"/>
      <x:c r="AC23" s="125"/>
      <x:c r="AD23" s="125"/>
      <x:c r="AE23" s="125"/>
      <x:c r="AF23" s="125"/>
    </x:row>
    <x:row r="24">
      <x:c r="A24"/>
      <x:c r="B24"/>
      <x:c r="C24"/>
      <x:c r="D24"/>
      <x:c r="E24"/>
      <x:c r="F24"/>
      <x:c r="G24"/>
      <x:c r="H24"/>
      <x:c r="I24"/>
      <x:c r="J24"/>
      <x:c r="K24"/>
      <x:c r="L24"/>
      <x:c r="M24"/>
      <x:c r="N24"/>
      <x:c r="O24"/>
      <x:c r="P24"/>
      <x:c r="Q24"/>
      <x:c r="R24"/>
      <x:c r="S24"/>
      <x:c r="T24"/>
      <x:c r="U24"/>
      <x:c r="V24"/>
      <x:c r="W24"/>
      <x:c r="X24"/>
      <x:c r="Y24"/>
      <x:c r="Z24"/>
      <x:c r="AA24"/>
      <x:c r="AB24"/>
      <x:c r="AC24"/>
      <x:c r="AD24"/>
      <x:c r="AE24"/>
      <x:c r="AF24"/>
    </x:row>
    <x:row r="25" ht="25" customHeight="1">
      <x:c r="A25" s="117" t="str">
        <x:v>LEGEND</x:v>
      </x:c>
      <x:c r="B25" s="117"/>
      <x:c r="C25" s="117"/>
      <x:c r="D25"/>
      <x:c r="E25"/>
      <x:c r="F25"/>
      <x:c r="G25"/>
      <x:c r="H25"/>
      <x:c r="I25"/>
      <x:c r="J25"/>
      <x:c r="K25"/>
      <x:c r="L25"/>
      <x:c r="M25"/>
      <x:c r="N25"/>
      <x:c r="O25"/>
      <x:c r="P25"/>
      <x:c r="Q25"/>
      <x:c r="R25"/>
      <x:c r="S25"/>
      <x:c r="T25"/>
      <x:c r="U25"/>
      <x:c r="V25"/>
      <x:c r="W25"/>
      <x:c r="X25"/>
      <x:c r="Y25"/>
      <x:c r="Z25"/>
      <x:c r="AA25"/>
      <x:c r="AB25"/>
      <x:c r="AC25"/>
      <x:c r="AD25"/>
      <x:c r="AE25"/>
      <x:c r="AF25"/>
    </x:row>
    <x:row r="26">
      <x:c r="A26" s="126" t="str">
        <x:v>Columns A-W</x:v>
      </x:c>
      <x:c r="B26"/>
      <x:c r="C26" t="str">
        <x:v>The curator's own data, copied unchanged from the audit workbook.</x:v>
      </x:c>
      <x:c r="D26"/>
      <x:c r="E26"/>
      <x:c r="F26"/>
      <x:c r="G26"/>
      <x:c r="H26"/>
      <x:c r="I26"/>
      <x:c r="J26"/>
      <x:c r="K26"/>
      <x:c r="L26"/>
      <x:c r="M26"/>
      <x:c r="N26"/>
      <x:c r="O26"/>
      <x:c r="P26"/>
      <x:c r="Q26"/>
      <x:c r="R26"/>
      <x:c r="S26"/>
      <x:c r="T26"/>
      <x:c r="U26"/>
      <x:c r="V26"/>
      <x:c r="W26"/>
      <x:c r="X26"/>
      <x:c r="Y26"/>
      <x:c r="Z26"/>
      <x:c r="AA26"/>
      <x:c r="AB26"/>
      <x:c r="AC26"/>
      <x:c r="AD26"/>
      <x:c r="AE26"/>
      <x:c r="AF26"/>
    </x:row>
    <x:row r="27">
      <x:c r="A27" s="126" t="str">
        <x:v>Columns X-AF</x:v>
      </x:c>
      <x:c r="B27"/>
      <x:c r="C27" t="str">
        <x:v>Verification added on 16 October 2026. Nothing in A-W was edited.</x:v>
      </x:c>
      <x:c r="D27"/>
      <x:c r="E27"/>
      <x:c r="F27"/>
      <x:c r="G27"/>
      <x:c r="H27"/>
      <x:c r="I27"/>
      <x:c r="J27"/>
      <x:c r="K27"/>
      <x:c r="L27"/>
      <x:c r="M27"/>
      <x:c r="N27"/>
      <x:c r="O27"/>
      <x:c r="P27"/>
      <x:c r="Q27"/>
      <x:c r="R27"/>
      <x:c r="S27"/>
      <x:c r="T27"/>
      <x:c r="U27"/>
      <x:c r="V27"/>
      <x:c r="W27"/>
      <x:c r="X27"/>
      <x:c r="Y27"/>
      <x:c r="Z27"/>
      <x:c r="AA27"/>
      <x:c r="AB27"/>
      <x:c r="AC27"/>
      <x:c r="AD27"/>
      <x:c r="AE27"/>
      <x:c r="AF27"/>
    </x:row>
    <x:row r="28">
      <x:c r="A28" s="126" t="str">
        <x:v>check_length / check_motif_in_sequence</x:v>
      </x:c>
      <x:c r="B28"/>
      <x:c r="C28" t="str">
        <x:v>Live formulas; they re-evaluate if you edit the sequence, the length or the motif.</x:v>
      </x:c>
      <x:c r="D28"/>
      <x:c r="E28"/>
      <x:c r="F28"/>
      <x:c r="G28"/>
      <x:c r="H28"/>
      <x:c r="I28"/>
      <x:c r="J28"/>
      <x:c r="K28"/>
      <x:c r="L28"/>
      <x:c r="M28"/>
      <x:c r="N28"/>
      <x:c r="O28"/>
      <x:c r="P28"/>
      <x:c r="Q28"/>
      <x:c r="R28"/>
      <x:c r="S28"/>
      <x:c r="T28"/>
      <x:c r="U28"/>
      <x:c r="V28"/>
      <x:c r="W28"/>
      <x:c r="X28"/>
      <x:c r="Y28"/>
      <x:c r="Z28"/>
      <x:c r="AA28"/>
      <x:c r="AB28"/>
      <x:c r="AC28"/>
      <x:c r="AD28"/>
      <x:c r="AE28"/>
      <x:c r="AF28"/>
    </x:row>
    <x:row r="29">
      <x:c r="A29" s="126" t="str">
        <x:v>checked_cargo_*</x:v>
      </x:c>
      <x:c r="B29"/>
      <x:c r="C29" t="str">
        <x:v>Read from UniProt REST (rest.uniprot.org) on 16 October 2026.</x:v>
      </x:c>
      <x:c r="D29"/>
      <x:c r="E29"/>
      <x:c r="F29"/>
      <x:c r="G29"/>
      <x:c r="H29"/>
      <x:c r="I29"/>
      <x:c r="J29"/>
      <x:c r="K29"/>
      <x:c r="L29"/>
      <x:c r="M29"/>
      <x:c r="N29"/>
      <x:c r="O29"/>
      <x:c r="P29"/>
      <x:c r="Q29"/>
      <x:c r="R29"/>
      <x:c r="S29"/>
      <x:c r="T29"/>
      <x:c r="U29"/>
      <x:c r="V29"/>
      <x:c r="W29"/>
      <x:c r="X29"/>
      <x:c r="Y29"/>
      <x:c r="Z29"/>
      <x:c r="AA29"/>
      <x:c r="AB29"/>
      <x:c r="AC29"/>
      <x:c r="AD29"/>
      <x:c r="AE29"/>
      <x:c r="AF29"/>
    </x:row>
    <x:row r="30">
      <x:c r="A30" s="126" t="str">
        <x:v>Red row</x:v>
      </x:c>
      <x:c r="B30"/>
      <x:c r="C30" t="str">
        <x:v>Q9WZP2_TOOLKIT_TM: the Builder insert is frame-shifted. See verdict_builder_dna.</x:v>
      </x:c>
      <x:c r="D30"/>
      <x:c r="E30"/>
      <x:c r="F30"/>
      <x:c r="G30"/>
      <x:c r="H30"/>
      <x:c r="I30"/>
      <x:c r="J30"/>
      <x:c r="K30"/>
      <x:c r="L30"/>
      <x:c r="M30"/>
      <x:c r="N30"/>
      <x:c r="O30"/>
      <x:c r="P30"/>
      <x:c r="Q30"/>
      <x:c r="R30"/>
      <x:c r="S30"/>
      <x:c r="T30"/>
      <x:c r="U30"/>
      <x:c r="V30"/>
      <x:c r="W30"/>
      <x:c r="X30"/>
      <x:c r="Y30"/>
      <x:c r="Z30"/>
      <x:c r="AA30"/>
      <x:c r="AB30"/>
      <x:c r="AC30"/>
      <x:c r="AD30"/>
      <x:c r="AE30"/>
      <x:c r="AF30"/>
    </x:row>
    <x:row r="31">
      <x:c r="A31" s="126" t="str">
        <x:v>Not checked</x:v>
      </x:c>
      <x:c r="B31"/>
      <x:c r="C31" t="str">
        <x:v>A0AAT8XUH9_KpDyP_C10 — its cargo_accession is a UniParc ID that could not be resolved.</x:v>
      </x:c>
      <x:c r="D31"/>
      <x:c r="E31"/>
      <x:c r="F31"/>
      <x:c r="G31"/>
      <x:c r="H31"/>
      <x:c r="I31"/>
      <x:c r="J31"/>
      <x:c r="K31"/>
      <x:c r="L31"/>
      <x:c r="M31"/>
      <x:c r="N31"/>
      <x:c r="O31"/>
      <x:c r="P31"/>
      <x:c r="Q31"/>
      <x:c r="R31"/>
      <x:c r="S31"/>
      <x:c r="T31"/>
      <x:c r="U31"/>
      <x:c r="V31"/>
      <x:c r="W31"/>
      <x:c r="X31"/>
      <x:c r="Y31"/>
      <x:c r="Z31"/>
      <x:c r="AA31"/>
      <x:c r="AB31"/>
      <x:c r="AC31"/>
      <x:c r="AD31"/>
      <x:c r="AE31"/>
      <x:c r="AF31"/>
    </x:row>
  </x:sheetData>
  <x:pageMargins left="0.7" right="0.7" top="0.75" bottom="0.75" header="0.3" footer="0.3"/>
</x:worksheet>
</file>